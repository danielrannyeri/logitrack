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oes" sheetId="1" r:id="rId5"/>
    <sheet state="visible" name="Testadores" sheetId="2" r:id="rId6"/>
    <sheet state="visible" name="Casos de Teste" sheetId="3" r:id="rId7"/>
    <sheet state="visible" name="Resumo da Execução" sheetId="4" r:id="rId8"/>
  </sheets>
  <definedNames/>
  <calcPr/>
</workbook>
</file>

<file path=xl/sharedStrings.xml><?xml version="1.0" encoding="utf-8"?>
<sst xmlns="http://schemas.openxmlformats.org/spreadsheetml/2006/main" count="454" uniqueCount="287">
  <si>
    <t>Plano de Execução - Suíte de Testes LogiTrack Pro</t>
  </si>
  <si>
    <t>Organização da planilha</t>
  </si>
  <si>
    <t>Equipe da Rodada de Testes - LogiTrack Pro</t>
  </si>
  <si>
    <t>ACESSO</t>
  </si>
  <si>
    <t>Instrucoes ......... este guia: premissas, ambiente e convenções.</t>
  </si>
  <si>
    <t>Testadores ........ quem participa da rodada, módulos atribuídos e ambiente de cada um.</t>
  </si>
  <si>
    <t>Casos de Teste .... a suíte, agrupada por faixas de módulo.</t>
  </si>
  <si>
    <t>Resumo da Execução  indicadores e gráficos alimentados automaticamente pela suíte.</t>
  </si>
  <si>
    <t>Como preencher durante a execução</t>
  </si>
  <si>
    <t>Na aba 'Casos de Teste', preencha SOMENTE as colunas destacadas em amarelo:</t>
  </si>
  <si>
    <t xml:space="preserve">  J — Resultado Obtido ..... o comportamento real observado, de forma objetiva.</t>
  </si>
  <si>
    <t xml:space="preserve">  K — Status ............... lista suspensa: Aprovado / Reprovado / Bloqueado / Não Executado.</t>
  </si>
  <si>
    <t xml:space="preserve">  L — Testador ............. lista suspensa alimentada pela aba Testadores.</t>
  </si>
  <si>
    <t xml:space="preserve">  M — Data de Execução ..... data em que o caso foi executado.</t>
  </si>
  <si>
    <t xml:space="preserve">  N — Evidência ............ nome do arquivo de print ou vídeo correspondente.</t>
  </si>
  <si>
    <t>As colunas A a I descrevem o teste projetado e não devem ser alteradas após o início da</t>
  </si>
  <si>
    <t>execução — alterar o Resultado Esperado depois de ver o comportamento real invalida o teste.</t>
  </si>
  <si>
    <t>Exemplo de preenchimento</t>
  </si>
  <si>
    <t>Testador</t>
  </si>
  <si>
    <t xml:space="preserve">  J: O sistema aceitou o cadastro e exibiu o veículo na listagem com o ano -2000.</t>
  </si>
  <si>
    <t xml:space="preserve">  K: Reprovado     L: Daniel Rocha     M: 29/09/2026     N: evidencias/CT-005_ano-negativo.png</t>
  </si>
  <si>
    <t>Convenções</t>
  </si>
  <si>
    <t>Perfil</t>
  </si>
  <si>
    <t xml:space="preserve">  Evidências: evidencias/CT-XXX_descricao-curta.png</t>
  </si>
  <si>
    <t>Módulos atribuídos</t>
  </si>
  <si>
    <t xml:space="preserve">  Tags no título: [Validação] regra de campo · [Negativo] erro esperado ·</t>
  </si>
  <si>
    <t>Navegador / Dispositivo</t>
  </si>
  <si>
    <t xml:space="preserve">                  [Segurança] controle de acesso · [Regra] regra de negócio entre módulos ·</t>
  </si>
  <si>
    <t>ID</t>
  </si>
  <si>
    <t xml:space="preserve">                  sem tag = caminho feliz</t>
  </si>
  <si>
    <t>Status da rodada</t>
  </si>
  <si>
    <t xml:space="preserve">  Prioridade e Status mudam de cor automaticamente conforme o valor selecionado.</t>
  </si>
  <si>
    <t>Título do Cenário</t>
  </si>
  <si>
    <t>Contato</t>
  </si>
  <si>
    <t>Prioridade</t>
  </si>
  <si>
    <t>Premissas assumidas</t>
  </si>
  <si>
    <t>Módulo</t>
  </si>
  <si>
    <t>A aplicação não possui documentação de requisitos disponível. Os Resultados Esperados foram</t>
  </si>
  <si>
    <t>Objetivo</t>
  </si>
  <si>
    <t>Daniel Rocha</t>
  </si>
  <si>
    <t>Pré-condições</t>
  </si>
  <si>
    <t>derivados de regras de negócio inferidas do domínio de gestão de frotas e das convenções</t>
  </si>
  <si>
    <t>Dados Utilizados</t>
  </si>
  <si>
    <t>apresentadas pela própria interface (placeholders, máscaras e rótulos dos formulários).</t>
  </si>
  <si>
    <t>Passos para Execução</t>
  </si>
  <si>
    <t>Cada premissa relevante está registrada na coluna Pré-condições do caso correspondente.</t>
  </si>
  <si>
    <t>Resultado Esperado</t>
  </si>
  <si>
    <t>Resultado Obtido</t>
  </si>
  <si>
    <t>Ambiente de teste</t>
  </si>
  <si>
    <t>Status</t>
  </si>
  <si>
    <t xml:space="preserve">  URL ............. https://logitrack.danieldiegosantana.me/</t>
  </si>
  <si>
    <t xml:space="preserve">  Usuário ......... logap@teste.com</t>
  </si>
  <si>
    <t>QA</t>
  </si>
  <si>
    <t>Data de Execução</t>
  </si>
  <si>
    <t xml:space="preserve">  Navegador ....... [preencher — nome e versão]</t>
  </si>
  <si>
    <t>Evidência</t>
  </si>
  <si>
    <t xml:space="preserve">  Resolução ....... [preencher]</t>
  </si>
  <si>
    <t xml:space="preserve">  Período ......... [preencher]</t>
  </si>
  <si>
    <t>Acesso, Dashboard, Manutenção</t>
  </si>
  <si>
    <t>CT-001</t>
  </si>
  <si>
    <t>Chrome  / Desktop</t>
  </si>
  <si>
    <t>Login com credenciais válidas</t>
  </si>
  <si>
    <t>Concluído</t>
  </si>
  <si>
    <t>daniel@logitrack.com</t>
  </si>
  <si>
    <t>Alta</t>
  </si>
  <si>
    <t>Acesso</t>
  </si>
  <si>
    <t>Verificar se o usuário cadastrado consegue autenticar e acessar o sistema.</t>
  </si>
  <si>
    <t>Usuário logap@teste.com existente e ativo. Navegador sem sessão ativa.</t>
  </si>
  <si>
    <t>E-mail: logap@teste.com | Senha: teste@123</t>
  </si>
  <si>
    <t>1. Acessar a URL da aplicação
2. Informar o e-mail no campo Email
3. Informar a senha no campo Senha
4. Clicar em Entrar</t>
  </si>
  <si>
    <t>O sistema autentica o usuário e redireciona para o Dashboard, exibindo o nome e o e-mail da conta no canto superior direito.</t>
  </si>
  <si>
    <t>O usuário conseguiu entrar com êxito no sistema, inicialmente na tela de Dashboard.</t>
  </si>
  <si>
    <t>Gabriel Passos</t>
  </si>
  <si>
    <t>Aprovado</t>
  </si>
  <si>
    <t>Veiculos, Viagens</t>
  </si>
  <si>
    <t>Brave / Desktop</t>
  </si>
  <si>
    <t>gabriel@logitrack.com</t>
  </si>
  <si>
    <t>CT-002</t>
  </si>
  <si>
    <t>[Negativo] Login com senha incorreta</t>
  </si>
  <si>
    <t>Verificar se o sistema bloqueia o acesso com credencial inválida e informa o erro sem expor qual campo falhou.</t>
  </si>
  <si>
    <t>Usuário logap@teste.com existente. Navegador sem sessão ativa.</t>
  </si>
  <si>
    <t>E-mail: logap@teste.com | Senha: senhaErrada123</t>
  </si>
  <si>
    <t>1. Acessar a URL da aplicação
2. Informar o e-mail válido
3. Informar uma senha incorreta
4. Clicar em Entrar</t>
  </si>
  <si>
    <t>O acesso é negado, o sistema permanece na tela de login e exibe mensagem genérica de credenciais inválidas, sem indicar se o erro foi no e-mail ou na senha.</t>
  </si>
  <si>
    <t>Entrando com login correto, qualquer senha libera o usuário. Um erro grave para o sistema</t>
  </si>
  <si>
    <t>Reprovado</t>
  </si>
  <si>
    <t>CT-003</t>
  </si>
  <si>
    <t>[Segurança] Acesso a rota interna sem sessão ativa</t>
  </si>
  <si>
    <t>Verificar se o sistema protege as rotas internas contra acesso direto por URL sem autenticação.</t>
  </si>
  <si>
    <t>Ter a URL de uma tela interna (ex.: /veiculos). Premissa: todo dado operacional da frota exige autenticação.</t>
  </si>
  <si>
    <t>URL: /veiculos | Navegador sem sessão (janela anônima)</t>
  </si>
  <si>
    <t>1. Autenticar no sistema e copiar a URL da tela de Veículos
2. Encerrar a sessão ou abrir uma janela anônima
3. Colar a URL da tela de Veículos na barra de endereço
4. Pressionar Enter</t>
  </si>
  <si>
    <t>O sistema bloqueia o acesso e redireciona para a tela de login, sem renderizar qualquer dado da frota.</t>
  </si>
  <si>
    <t>O sistema não deixa nagevar pelas URL em nenhum módulo sem logar.</t>
  </si>
  <si>
    <t>VEÍCULOS</t>
  </si>
  <si>
    <t>CT-004</t>
  </si>
  <si>
    <t>Cadastro de veículo com dados válidos</t>
  </si>
  <si>
    <t>Veículos</t>
  </si>
  <si>
    <t>Verificar se um veículo com todos os dados válidos é cadastrado e passa a constar na listagem.</t>
  </si>
  <si>
    <t>Usuário autenticado na tela de Veículos.</t>
  </si>
  <si>
    <t>Placa: ABC1D23 | Modelo: Volvo FH 540 | Tipo: Pesado | Ano: 2024</t>
  </si>
  <si>
    <t>1. Clicar em Adicionar Veículo
2. Preencher a placa em formato válido
3. Preencher o modelo
4. Selecionar o tipo Pesado
5. Informar o ano 2024
6. Clicar em Criar</t>
  </si>
  <si>
    <t>O veículo é cadastrado, o modal é fechado, uma confirmação é exibida e o registro aparece na listagem com todos os dados informados.</t>
  </si>
  <si>
    <t>Todas as validações foram executada com êxito</t>
  </si>
  <si>
    <t>CT-005</t>
  </si>
  <si>
    <t>[Validação] Cadastro de veículo com ano negativo</t>
  </si>
  <si>
    <t>Verificar se o campo Ano rejeita valores negativos, que são logicamente impossíveis para ano de fabricação.</t>
  </si>
  <si>
    <t>Usuário autenticado na tela de Veículos. Premissa: ano de fabricação deve ser um valor positivo e plausível.</t>
  </si>
  <si>
    <t>Placa: TST1A11 | Modelo: Teste Ano | Tipo: Leve | Ano: -2000</t>
  </si>
  <si>
    <t>1. Clicar em Adicionar Veículo
2. Preencher placa e modelo com dados válidos
3. Informar -2000 no campo Ano
4. Clicar em Criar</t>
  </si>
  <si>
    <t>O sistema rejeita o cadastro e exibe mensagem indicando que o ano informado é inválido. O registro não é criado.</t>
  </si>
  <si>
    <t>O sistema aprova o cadastro com ano em negativo</t>
  </si>
  <si>
    <t>CT-006</t>
  </si>
  <si>
    <t>[Validação] Cadastro de veículo com ano fora do intervalo plausível</t>
  </si>
  <si>
    <t>Média</t>
  </si>
  <si>
    <t>Verificar se o campo Ano possui limites mínimo e máximo coerentes com o domínio de frotas.</t>
  </si>
  <si>
    <t>Usuário autenticado na tela de Veículos. Premissa: ano deve estar entre 1900 e o ano corrente + 1.</t>
  </si>
  <si>
    <t>Cenário A — Ano: 0 (valor padrão do campo) | Cenário B — Ano: 3000</t>
  </si>
  <si>
    <t>1. Clicar em Adicionar Veículo
2. Preencher placa e modelo com dados válidos
3. Submeter o formulário mantendo o Ano com o valor padrão 0
4. Repetir o fluxo informando o Ano 3000</t>
  </si>
  <si>
    <t>Ambos os cadastros são rejeitados com mensagem de ano fora do intervalo permitido. O campo não deveria iniciar com o valor padrão 0, por ser um ano inválido.</t>
  </si>
  <si>
    <t>O sistema aprova o cadastro com ano zero (0) e ano 3000.</t>
  </si>
  <si>
    <t>CT-007</t>
  </si>
  <si>
    <t>[Validação] Cadastro de veículo com placa em formato inválido</t>
  </si>
  <si>
    <t>Verificar se o campo Placa valida os formatos brasileiro antigo e Mercosul, conforme indicado pelo próprio placeholder.</t>
  </si>
  <si>
    <t>Usuário autenticado na tela de Veículos. Premissa: o placeholder 'ABC-1234 ou ABC1D23' define os dois formatos aceitos.</t>
  </si>
  <si>
    <t>Valores testados: AB-123 | 12345678 | ABCD1234 | placa vazia | abc1d23 (minúsculo)</t>
  </si>
  <si>
    <t>1. Clicar em Adicionar Veículo
2. Informar a placa AB-123
3. Preencher os demais campos com dados válidos
4. Clicar em Criar
5. Repetir o fluxo para cada valor da lista de dados</t>
  </si>
  <si>
    <t>Todos os formatos inválidos são rejeitados com mensagem clara sobre o padrão esperado. O valor em minúsculo deve ser normalizado para maiúsculo ou rejeitado de forma explícita.</t>
  </si>
  <si>
    <t>O sistema não deixa criar um veículo com esses formatos. Ao colocar minusculo, o sistema automaticamente transforma em UpperCase.</t>
  </si>
  <si>
    <t>CT-008</t>
  </si>
  <si>
    <t>[Negativo] Cadastro de veículo com placa duplicada</t>
  </si>
  <si>
    <t>Verificar se o sistema impede o cadastro de dois veículos com a mesma placa.</t>
  </si>
  <si>
    <t>Existir na base o veículo de placa JVC-1234. Premissa: a placa é identificador único de um veículo.</t>
  </si>
  <si>
    <t>Placa: JVC-1234 | Modelo: Duplicata Teste | Tipo: Leve | Ano: 2024</t>
  </si>
  <si>
    <t>1. Clicar em Adicionar Veículo
2. Informar a placa de um veículo já existente
3. Preencher os demais campos
4. Clicar em Criar</t>
  </si>
  <si>
    <t>O sistema rejeita o cadastro e informa que já existe um veículo registrado com essa placa.</t>
  </si>
  <si>
    <t>O sistema rejeita o cadastro e surge um alerta com: ''Veiculo with placa 'JVC-1234' already exists''</t>
  </si>
  <si>
    <t>CT-009</t>
  </si>
  <si>
    <t>[Validação] Cadastro de veículo com campos obrigatórios vazios</t>
  </si>
  <si>
    <t>Verificar se o sistema identifica os campos obrigatórios e impede a submissão incompleta.</t>
  </si>
  <si>
    <t>Usuário autenticado na tela de Veículos. Premissa: placa e modelo são obrigatórios.</t>
  </si>
  <si>
    <t>Todos os campos em branco | Placa preenchida e Modelo vazio | Modelo preenchido e Placa vazia</t>
  </si>
  <si>
    <t>1. Clicar em Adicionar Veículo
2. Clicar em Criar sem preencher nenhum campo
3. Repetir preenchendo apenas a placa
4. Repetir preenchendo apenas o modelo</t>
  </si>
  <si>
    <t>A submissão é bloqueada e cada campo obrigatório não preenchido recebe indicação visual de erro com mensagem específica. Os campos obrigatórios devem estar sinalizados no formulário antes da tentativa de envio.</t>
  </si>
  <si>
    <t>O sistema não deixa criar um veículo sem placa e sem o modelo, mas deixa criar sem o ano.</t>
  </si>
  <si>
    <t>CT-010</t>
  </si>
  <si>
    <t>Edição de veículo existente</t>
  </si>
  <si>
    <t>Verificar se a alteração de um veículo é persistida e refletida na listagem.</t>
  </si>
  <si>
    <t>Existir ao menos um veículo cadastrado.</t>
  </si>
  <si>
    <t>Veículo: AAA-1111 | Alteração — Modelo: Volkswagen Gol 1.6 | Ano: 2022</t>
  </si>
  <si>
    <t>1. Localizar o veículo na listagem
2. Clicar no ícone de edição
3. Alterar o modelo e o ano
4. Salvar
5. Recarregar a página</t>
  </si>
  <si>
    <t>As alterações são salvas, exibidas na listagem e permanecem após o recarregamento. O formulário de edição deve aplicar as mesmas validações do cadastro.</t>
  </si>
  <si>
    <t>Alteração de todos os campos foram bem sucedidas.</t>
  </si>
  <si>
    <t>CT-011</t>
  </si>
  <si>
    <t>Exclusão de veículo com viagens e manutenções vinculadas</t>
  </si>
  <si>
    <t>Verificar o tratamento de integridade referencial ao excluir um veículo que possui registros dependentes.</t>
  </si>
  <si>
    <t>Existir o veículo JVC-1234 com viagens e manutenções vinculadas. Premissa: o histórico operacional não pode ser perdido silenciosamente.</t>
  </si>
  <si>
    <t>Veículo: JVC-1234 (possui viagem Natal - Fortaleza e manutenção Troca de bateria)</t>
  </si>
  <si>
    <t>1. Localizar o veículo JVC-1234 na listagem
2. Clicar no ícone de exclusão
3. Confirmar a ação
4. Acessar as telas de Viagens e Manutenção e buscar pelos registros do veículo excluído</t>
  </si>
  <si>
    <t>O sistema solicita confirmação explícita informando os vínculos existentes e, ao confirmar, mantém a consistência dos dados — bloqueando a exclusão ou tratando os registros dependentes de forma documentada, sem deixar registros órfãos.</t>
  </si>
  <si>
    <t>O sistema não deixa rastros, não aparecendo o histórico do carro apagado no módulo veículos</t>
  </si>
  <si>
    <t>CT-012</t>
  </si>
  <si>
    <t>Busca na listagem de veículos por placa e por modelo</t>
  </si>
  <si>
    <t>Verificar se o campo de busca filtra corretamente por ambos os critérios anunciados.</t>
  </si>
  <si>
    <t>Base com 249 veículos cadastrados.</t>
  </si>
  <si>
    <t>Termos: JVC-1234 | jvc | Volvo | XXXXXXX (inexistente)</t>
  </si>
  <si>
    <t>1. Informar a placa completa no campo de busca
2. Limpar e informar parte da placa em minúsculo
3. Limpar e informar parte do modelo
4. Limpar e informar um termo inexistente</t>
  </si>
  <si>
    <t>A listagem é filtrada corretamente em cada caso, a busca é indiferente a maiúsculas e minúsculas, e o termo inexistente exibe mensagem de nenhum resultado encontrado em vez de tabela vazia sem explicação.</t>
  </si>
  <si>
    <t>O sistema consegue filtrar tanto por placa quanto por modelo do carro, independente de maiúsculo ou minúsculo</t>
  </si>
  <si>
    <t>VIAGENS</t>
  </si>
  <si>
    <t>CT-013</t>
  </si>
  <si>
    <t>Cadastro de viagem com dados válidos</t>
  </si>
  <si>
    <t>Viagens</t>
  </si>
  <si>
    <t>Verificar se uma viagem com dados consistentes é registrada e exibida na listagem.</t>
  </si>
  <si>
    <t>Existir ao menos um veículo cadastrado e disponível.</t>
  </si>
  <si>
    <t>Veículo: VCJ2S35 | Origem: Natal | Destino: Recife | Saída: 01/10/2026 | Chegada: 02/10/2026 | KM: 297.5</t>
  </si>
  <si>
    <t>1. Clicar em Nova Viagem
2. Selecionar o veículo
3. Preencher origem e destino
4. Informar as datas de saída e chegada
5. Informar a quilometragem
6. Clicar em Adicionar</t>
  </si>
  <si>
    <t>A viagem é cadastrada e aparece na listagem com todos os dados informados. A quilometragem é exibida no padrão numérico brasileiro.</t>
  </si>
  <si>
    <t>A viagem é cadastrado com sucesso</t>
  </si>
  <si>
    <t>CT-014</t>
  </si>
  <si>
    <t>[Validação] Cadastro de viagem com quilometragem negativa</t>
  </si>
  <si>
    <t>Verificar se o campo Quilometragem Percorrida rejeita valores negativos, que são fisicamente impossíveis e corrompem os indicadores do Dashboard.</t>
  </si>
  <si>
    <t>Usuário autenticado na tela de Viagens. Premissa: distância percorrida é sempre maior que zero.</t>
  </si>
  <si>
    <t>Veículo: JVC-1234 | Origem: Natal | Destino: Fortaleza | KM: -525</t>
  </si>
  <si>
    <t>1. Clicar em Nova Viagem
2. Selecionar um veículo e preencher origem, destino e datas com dados válidos
3. Informar -525 no campo Quilometragem Percorrida
4. Clicar em Adicionar
5. Acessar o Dashboard e filtrar pelo veículo utilizado</t>
  </si>
  <si>
    <t>O sistema rejeita o cadastro e exibe mensagem indicando que a quilometragem deve ser maior que zero. O indicador Total de KM Percorrido do Dashboard nunca deve apresentar valor negativo.</t>
  </si>
  <si>
    <t>O sistema autoriza o cadastro, mesmo com KM negativo</t>
  </si>
  <si>
    <t>CT-015</t>
  </si>
  <si>
    <t>[Validação] Data de chegada anterior à data de saída</t>
  </si>
  <si>
    <t>Verificar se o sistema impede o registro de uma viagem com cronologia inválida.</t>
  </si>
  <si>
    <t>Usuário autenticado na tela de Viagens. Premissa: a chegada não pode ocorrer antes da saída.</t>
  </si>
  <si>
    <t>Veículo: QGC3J32 | Saída: 26/07/2026 | Chegada: 25/07/2026 | KM: 220.5</t>
  </si>
  <si>
    <t>1. Clicar em Nova Viagem
2. Selecionar o veículo e preencher origem e destino
3. Informar data de saída posterior à data de chegada
4. Clicar em Adicionar</t>
  </si>
  <si>
    <t>O cadastro é bloqueado com mensagem indicando a inconsistência entre as datas. A sinalização visual sozinha, sem bloqueio da submissão, não é suficiente para impedir o dado inválido.</t>
  </si>
  <si>
    <t xml:space="preserve">O sistema permite colocar data de chegada anterior a data de saída e alerta: ''Viagem atualizada com sucesso!''
</t>
  </si>
  <si>
    <t>CT-016</t>
  </si>
  <si>
    <t>[Negativo] Duas viagens simultâneas para o mesmo veículo</t>
  </si>
  <si>
    <t>Verificar se o sistema impede que um mesmo veículo seja alocado em duas viagens com períodos sobrepostos.</t>
  </si>
  <si>
    <t>Existir uma viagem cadastrada para o veículo escolhido. Premissa: um veículo físico não pode realizar duas viagens ao mesmo tempo.</t>
  </si>
  <si>
    <t>Veículo: QVD9C31 | Viagem existente: 23/09/2026 a 24/09/2026 | Nova viagem: 23/09/2026 a 25/09/2026</t>
  </si>
  <si>
    <t>1. Identificar uma viagem já cadastrada e seu período
2. Clicar em Nova Viagem
3. Selecionar o mesmo veículo
4. Informar um período que se sobreponha ao da viagem existente
5. Clicar em Adicionar</t>
  </si>
  <si>
    <t>O sistema impede o cadastro e informa que o veículo já possui viagem registrada no período.</t>
  </si>
  <si>
    <t>O sistema permitiu cadastrar o mesmo veículo para viagens diferentes no mesmo dia.</t>
  </si>
  <si>
    <t>CT-017</t>
  </si>
  <si>
    <t>[Regra] Cadastro de viagem com veículo em manutenção</t>
  </si>
  <si>
    <t>Verificar se veículos com manutenção em andamento são impedidos de ser alocados em novas viagens.</t>
  </si>
  <si>
    <t>Existir um veículo com manutenção de status Pendente ou Em Realização no período. Premissa: veículo em manutenção está indisponível para operação.</t>
  </si>
  <si>
    <t>Veículo: QFP6H68 (manutenção pendente de 07/08/2026 a 08/08/2026) | Viagem: 07/08/2026 a 08/08/2026</t>
  </si>
  <si>
    <t>1. Consultar na tela de Manutenção um veículo com manutenção não concluída
2. Clicar em Nova Viagem
3. Abrir o seletor de veículos e localizar o veículo em manutenção
4. Selecioná-lo e cadastrar uma viagem no mesmo período</t>
  </si>
  <si>
    <t>O veículo em manutenção não é oferecido no seletor, ou o sistema impede o cadastro informando a indisponibilidade.</t>
  </si>
  <si>
    <t>O sistema permitiu liberar o veículo para viagem, mesmo estando em manutenção</t>
  </si>
  <si>
    <t>MANUTENÇÃO</t>
  </si>
  <si>
    <t>CT-018</t>
  </si>
  <si>
    <t>Agendamento de manutenção com dados válidos</t>
  </si>
  <si>
    <t>Manutenção</t>
  </si>
  <si>
    <t>Verificar se uma manutenção com dados consistentes é agendada e listada corretamente.</t>
  </si>
  <si>
    <t>Veículo: VCJ2S35 | Serviço: Troca de óleo | Início: 01/10/2026 | Finalização: 02/10/2026 | Custo: 350,00</t>
  </si>
  <si>
    <t>1. Clicar em Nova Manutenção
2. Selecionar o veículo
3. Informar o tipo de serviço
4. Preencher as datas de início e finalização
5. Informar o custo estimado
6. Clicar em Agendar</t>
  </si>
  <si>
    <t>A manutenção é criada com status inicial Pendente e aparece na listagem com os dados informados e o custo formatado em reais.</t>
  </si>
  <si>
    <t>A manutenção foi criada com sucesso</t>
  </si>
  <si>
    <t>CT-019</t>
  </si>
  <si>
    <t>[Validação] Agendamento com custo estimado negativo</t>
  </si>
  <si>
    <t>Verificar se o campo Custo Estimado rejeita valores negativos.</t>
  </si>
  <si>
    <t>Usuário autenticado na tela de Manutenção. Premissa: custo de serviço não pode ser negativo.</t>
  </si>
  <si>
    <t>Veículo: QSA5G34 | Serviço: Teste custo | Custo: -350</t>
  </si>
  <si>
    <t>1. Clicar em Nova Manutenção
2. Preencher veículo, serviço e datas com dados válidos
3. Informar -350 no campo Custo Estimado
4. Clicar em Agendar</t>
  </si>
  <si>
    <t>O sistema rejeita o agendamento e exibe mensagem indicando que o custo deve ser igual ou maior que zero.</t>
  </si>
  <si>
    <t>O sistema rejeitou o agendamento com valores negativos</t>
  </si>
  <si>
    <t>CT-020</t>
  </si>
  <si>
    <t>[Validação] Data de finalização anterior à data de início</t>
  </si>
  <si>
    <t>Verificar se o sistema impede o agendamento com período inválido.</t>
  </si>
  <si>
    <t>Usuário autenticado na tela de Manutenção. Premissa: a finalização não pode anteceder o início.</t>
  </si>
  <si>
    <t>Veículo: QJE7W52 | Início: 10/10/2026 | Finalização: 05/10/2026</t>
  </si>
  <si>
    <t>1. Clicar em Nova Manutenção
2. Selecionar veículo e informar o tipo de serviço
3. Informar data de início posterior à de finalização
4. Clicar em Agendar</t>
  </si>
  <si>
    <t>O agendamento é bloqueado com mensagem indicando a inconsistência entre as datas.</t>
  </si>
  <si>
    <t xml:space="preserve">O sistema bloqueou a criação com data de início posterior e dá um alerta: ''Data de finalização não pode ser anterior à data de início''
</t>
  </si>
  <si>
    <t>Bloqueado</t>
  </si>
  <si>
    <t>CT-021</t>
  </si>
  <si>
    <t>Transição de status da manutenção</t>
  </si>
  <si>
    <t>Verificar se o fluxo de status da manutenção avança corretamente e é persistido.</t>
  </si>
  <si>
    <t>Existir uma manutenção com status Pendente.</t>
  </si>
  <si>
    <t>Manutenção: QFP6H68 — Revisão preventiva (status Pendente)</t>
  </si>
  <si>
    <t>1. Localizar uma manutenção com status Pendente
2. Acionar a ação Em Realização
3. Verificar o status na listagem
4. Recarregar a página
5. Avançar o status até Concluída</t>
  </si>
  <si>
    <t>O status avança de Pendente para Em Realização e depois para Concluída, é persistido após o recarregamento e o histórico permanece coerente. O sistema deve indicar se a transição é reversível.</t>
  </si>
  <si>
    <t>O sistema avança com os status com sucesso</t>
  </si>
  <si>
    <t>DASHBOARD</t>
  </si>
  <si>
    <t>CT-022</t>
  </si>
  <si>
    <t>Filtro de veículo aplicado a todos os componentes do Dashboard</t>
  </si>
  <si>
    <t>Dashboard</t>
  </si>
  <si>
    <t>Verificar se a seleção de um veículo no filtro afeta todos os indicadores da tela, e não apenas um card.</t>
  </si>
  <si>
    <t>Existir mais de um veículo com viagens registradas. Premissa: o filtro define o escopo da tela inteira.</t>
  </si>
  <si>
    <t>Veículo selecionado: JVC-1234</t>
  </si>
  <si>
    <t>1. Acessar o Dashboard
2. Anotar os valores exibidos nos três componentes com o filtro padrão
3. Selecionar o veículo JVC-1234 no filtro
4. Comparar os valores do card Total de KM, do gráfico Volume por Categoria e do Cronograma de Manutenção</t>
  </si>
  <si>
    <t>Os três componentes passam a exibir apenas os dados do veículo selecionado. Caso algum componente seja intencionalmente global, isso deve estar explícito na interface.</t>
  </si>
  <si>
    <t>Apenas filtra o ''Total de KM Percorrido'', o restante dos filtros não filtram para o veículo selecionado.</t>
  </si>
  <si>
    <t>CT-023</t>
  </si>
  <si>
    <t>Total de KM Percorrido confere com a soma das viagens do veículo</t>
  </si>
  <si>
    <t>Verificar a integridade do indicador de quilometragem em relação aos dados de origem.</t>
  </si>
  <si>
    <t>Existir um veículo com viagens cadastradas.</t>
  </si>
  <si>
    <t>Veículo: QVD9C31 | Viagens registradas: 286 km + 286 km</t>
  </si>
  <si>
    <t>1. Acessar a tela de Viagens e somar manualmente a quilometragem das viagens do veículo
2. Acessar o Dashboard
3. Selecionar o mesmo veículo no filtro
4. Comparar o valor do card Total de KM Percorrido com a soma apurada</t>
  </si>
  <si>
    <t>O valor exibido no Dashboard é igual à soma das quilometragens das viagens do veículo e é sempre um número positivo.</t>
  </si>
  <si>
    <t xml:space="preserve">O valor bate com a soma da quilometragem do módulo de viagens </t>
  </si>
  <si>
    <t>CT-024</t>
  </si>
  <si>
    <t>Contagem do gráfico Volume por Categoria confere com a listagem</t>
  </si>
  <si>
    <t>Verificar se o total de viagens apresentado no gráfico corresponde aos registros existentes.</t>
  </si>
  <si>
    <t>Existirem viagens cadastradas para veículos de tipo Leve e Pesado.</t>
  </si>
  <si>
    <t>Gráfico: 93 viagens Leve + 3 viagens Pesado | Listagem de Viagens: total de registros</t>
  </si>
  <si>
    <t>1. Acessar o Dashboard e somar as viagens das duas categorias do gráfico
2. Acessar a tela de Viagens e verificar o total de registros no rodapé
3. Comparar os dois valores considerando o filtro aplicado no Dashboard</t>
  </si>
  <si>
    <t>A soma das categorias do gráfico corresponde ao total de viagens do escopo filtrado, e a classificação Leve/Pesado corresponde ao tipo cadastrado de cada veículo.</t>
  </si>
  <si>
    <t>Mesmo criando mais cenários de viagens, o dashboard não atualiza, estando não funcional.</t>
  </si>
  <si>
    <t>Resumo da Execução — LogiTrack Pro</t>
  </si>
  <si>
    <t>Execução por status</t>
  </si>
  <si>
    <t>Quantidade</t>
  </si>
  <si>
    <t>Percentual</t>
  </si>
  <si>
    <t>Não Executado</t>
  </si>
  <si>
    <t>Total de casos</t>
  </si>
  <si>
    <t>Taxa de aprovação (sobre os casos já executados)</t>
  </si>
  <si>
    <t>Execução por módulo</t>
  </si>
  <si>
    <t>Total</t>
  </si>
  <si>
    <t>Execução por prioridade</t>
  </si>
  <si>
    <t>Baixa</t>
  </si>
  <si>
    <t>Rastreabilidade — casos reprovados x bugs</t>
  </si>
  <si>
    <t>ID do caso</t>
  </si>
  <si>
    <t>Título</t>
  </si>
  <si>
    <t>Bug relacionado</t>
  </si>
  <si>
    <t>Severidade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</si>
</sst>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18">
    <font>
      <sz val="11.0"/>
      <color theme="1"/>
      <name val="Calibri"/>
      <scheme val="minor"/>
    </font>
    <font>
      <b/>
      <sz val="15.0"/>
      <color rgb="FF1E3A8A"/>
      <name val="Arial"/>
    </font>
    <font>
      <sz val="10.0"/>
      <color theme="1"/>
      <name val="Arial"/>
    </font>
    <font>
      <b/>
      <sz val="11.0"/>
      <color rgb="FF2563EB"/>
      <name val="Arial"/>
    </font>
    <font>
      <b/>
      <sz val="14.0"/>
      <color rgb="FF1E3A8A"/>
      <name val="Arial"/>
    </font>
    <font>
      <b/>
      <sz val="11.0"/>
      <color rgb="FFFFFFFF"/>
      <name val="Arial"/>
    </font>
    <font>
      <i/>
      <sz val="9.0"/>
      <color rgb="FF64748B"/>
      <name val="Arial"/>
    </font>
    <font/>
    <font>
      <b/>
      <sz val="10.0"/>
      <color rgb="FFFFFFFF"/>
      <name val="Arial"/>
    </font>
    <font>
      <b/>
      <sz val="10.0"/>
      <color rgb="FF14532D"/>
      <name val="Arial"/>
    </font>
    <font>
      <b/>
      <sz val="10.0"/>
      <color rgb="FF7F1D1D"/>
      <name val="Arial"/>
    </font>
    <font>
      <b/>
      <sz val="10.0"/>
      <color rgb="FF334155"/>
      <name val="Arial"/>
    </font>
    <font>
      <b/>
      <sz val="10.0"/>
      <color rgb="FF64748B"/>
      <name val="Arial"/>
    </font>
    <font>
      <b/>
      <sz val="10.0"/>
      <color theme="1"/>
      <name val="Arial"/>
    </font>
    <font>
      <b/>
      <sz val="12.0"/>
      <color rgb="FF1E3A8A"/>
      <name val="Arial"/>
    </font>
    <font>
      <b/>
      <sz val="10.0"/>
      <color rgb="FF78350F"/>
      <name val="Arial"/>
    </font>
    <font>
      <b/>
      <sz val="10.0"/>
      <color rgb="FF064E3B"/>
      <name val="Arial"/>
    </font>
    <font>
      <b/>
      <sz val="11.0"/>
      <color rgb="FFB91C1C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2563EB"/>
        <bgColor rgb="FF2563EB"/>
      </patternFill>
    </fill>
    <fill>
      <patternFill patternType="solid">
        <fgColor rgb="FF1E3A8A"/>
        <bgColor rgb="FF1E3A8A"/>
      </patternFill>
    </fill>
    <fill>
      <patternFill patternType="solid">
        <fgColor rgb="FFF8FAFC"/>
        <bgColor rgb="FFF8FAFC"/>
      </patternFill>
    </fill>
    <fill>
      <patternFill patternType="solid">
        <fgColor rgb="FFFFFDE7"/>
        <bgColor rgb="FFFFFDE7"/>
      </patternFill>
    </fill>
    <fill>
      <patternFill patternType="solid">
        <fgColor rgb="FFBBF7D0"/>
        <bgColor rgb="FFBBF7D0"/>
      </patternFill>
    </fill>
    <fill>
      <patternFill patternType="solid">
        <fgColor rgb="FFFECACA"/>
        <bgColor rgb="FFFECACA"/>
      </patternFill>
    </fill>
    <fill>
      <patternFill patternType="solid">
        <fgColor rgb="FFE2E8F0"/>
        <bgColor rgb="FFE2E8F0"/>
      </patternFill>
    </fill>
    <fill>
      <patternFill patternType="solid">
        <fgColor rgb="FFF1F5F9"/>
        <bgColor rgb="FFF1F5F9"/>
      </patternFill>
    </fill>
    <fill>
      <patternFill patternType="solid">
        <fgColor rgb="FFDBEAFE"/>
        <bgColor rgb="FFDBEAFE"/>
      </patternFill>
    </fill>
    <fill>
      <patternFill patternType="solid">
        <fgColor rgb="FFFCA5A5"/>
        <bgColor rgb="FFFCA5A5"/>
      </patternFill>
    </fill>
    <fill>
      <patternFill patternType="solid">
        <fgColor rgb="FFFDE68A"/>
        <bgColor rgb="FFFDE68A"/>
      </patternFill>
    </fill>
    <fill>
      <patternFill patternType="solid">
        <fgColor rgb="FFA7F3D0"/>
        <bgColor rgb="FFA7F3D0"/>
      </patternFill>
    </fill>
  </fills>
  <borders count="5">
    <border/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1" fillId="2" fontId="5" numFmtId="0" xfId="0" applyAlignment="1" applyBorder="1" applyFill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2" fillId="0" fontId="7" numFmtId="0" xfId="0" applyBorder="1" applyFont="1"/>
    <xf borderId="3" fillId="3" fontId="8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 shrinkToFit="0" vertical="bottom" wrapText="0"/>
    </xf>
    <xf borderId="4" fillId="0" fontId="7" numFmtId="0" xfId="0" applyBorder="1" applyFont="1"/>
    <xf borderId="3" fillId="4" fontId="2" numFmtId="0" xfId="0" applyAlignment="1" applyBorder="1" applyFill="1" applyFont="1">
      <alignment readingOrder="0" shrinkToFit="0" vertical="center" wrapText="1"/>
    </xf>
    <xf borderId="3" fillId="4" fontId="2" numFmtId="0" xfId="0" applyAlignment="1" applyBorder="1" applyFill="1" applyFont="1">
      <alignment shrinkToFit="0" vertical="center" wrapText="1"/>
    </xf>
    <xf borderId="3" fillId="0" fontId="2" numFmtId="0" xfId="0" applyAlignment="1" applyBorder="1" applyFont="1">
      <alignment horizontal="center" shrinkToFit="0" vertical="top" wrapText="1"/>
    </xf>
    <xf borderId="3" fillId="0" fontId="2" numFmtId="0" xfId="0" applyAlignment="1" applyBorder="1" applyFont="1">
      <alignment shrinkToFit="0" vertical="top" wrapText="1"/>
    </xf>
    <xf borderId="3" fillId="5" fontId="2" numFmtId="0" xfId="0" applyAlignment="1" applyBorder="1" applyFill="1" applyFont="1">
      <alignment readingOrder="0" shrinkToFit="0" vertical="top" wrapText="1"/>
    </xf>
    <xf borderId="3" fillId="0" fontId="2" numFmtId="0" xfId="0" applyAlignment="1" applyBorder="1" applyFont="1">
      <alignment readingOrder="0" shrinkToFit="0" vertical="center" wrapText="1"/>
    </xf>
    <xf borderId="3" fillId="5" fontId="2" numFmtId="0" xfId="0" applyAlignment="1" applyBorder="1" applyFill="1" applyFont="1">
      <alignment horizontal="center" readingOrder="0" shrinkToFit="0" vertical="top" wrapText="1"/>
    </xf>
    <xf borderId="3" fillId="0" fontId="2" numFmtId="0" xfId="0" applyAlignment="1" applyBorder="1" applyFont="1">
      <alignment shrinkToFit="0" vertical="center" wrapText="1"/>
    </xf>
    <xf borderId="3" fillId="5" fontId="2" numFmtId="164" xfId="0" applyAlignment="1" applyBorder="1" applyFill="1" applyFont="1" applyNumberFormat="1">
      <alignment horizontal="center" readingOrder="0" shrinkToFit="0" vertical="top" wrapText="1"/>
    </xf>
    <xf borderId="3" fillId="5" fontId="2" numFmtId="0" xfId="0" applyAlignment="1" applyBorder="1" applyFill="1" applyFont="1">
      <alignment shrinkToFit="0" vertical="top" wrapText="1"/>
    </xf>
    <xf borderId="0" fillId="0" fontId="1" numFmtId="0" xfId="0" applyAlignment="1" applyFont="1">
      <alignment shrinkToFit="0" vertical="bottom" wrapText="0"/>
    </xf>
    <xf borderId="3" fillId="3" fontId="8" numFmtId="0" xfId="0" applyAlignment="1" applyBorder="1" applyFill="1" applyFont="1">
      <alignment horizontal="center" shrinkToFit="0" vertical="center" wrapText="0"/>
    </xf>
    <xf borderId="3" fillId="6" fontId="9" numFmtId="0" xfId="0" applyAlignment="1" applyBorder="1" applyFill="1" applyFont="1">
      <alignment horizontal="left" shrinkToFit="0" vertical="bottom" wrapText="0"/>
    </xf>
    <xf borderId="3" fillId="0" fontId="2" numFmtId="0" xfId="0" applyAlignment="1" applyBorder="1" applyFont="1">
      <alignment horizontal="center" shrinkToFit="0" vertical="bottom" wrapText="0"/>
    </xf>
    <xf borderId="3" fillId="0" fontId="2" numFmtId="165" xfId="0" applyAlignment="1" applyBorder="1" applyFont="1" applyNumberFormat="1">
      <alignment horizontal="center" shrinkToFit="0" vertical="bottom" wrapText="0"/>
    </xf>
    <xf borderId="3" fillId="7" fontId="10" numFmtId="0" xfId="0" applyAlignment="1" applyBorder="1" applyFill="1" applyFont="1">
      <alignment horizontal="left" shrinkToFit="0" vertical="bottom" wrapText="0"/>
    </xf>
    <xf borderId="3" fillId="8" fontId="11" numFmtId="0" xfId="0" applyAlignment="1" applyBorder="1" applyFill="1" applyFont="1">
      <alignment horizontal="left" shrinkToFit="0" vertical="bottom" wrapText="0"/>
    </xf>
    <xf borderId="3" fillId="9" fontId="12" numFmtId="0" xfId="0" applyAlignment="1" applyBorder="1" applyFill="1" applyFont="1">
      <alignment horizontal="left" shrinkToFit="0" vertical="bottom" wrapText="0"/>
    </xf>
    <xf borderId="3" fillId="10" fontId="13" numFmtId="0" xfId="0" applyAlignment="1" applyBorder="1" applyFill="1" applyFont="1">
      <alignment shrinkToFit="0" vertical="bottom" wrapText="0"/>
    </xf>
    <xf borderId="3" fillId="10" fontId="13" numFmtId="0" xfId="0" applyAlignment="1" applyBorder="1" applyFill="1" applyFont="1">
      <alignment horizontal="center" shrinkToFit="0" vertical="bottom" wrapText="0"/>
    </xf>
    <xf borderId="3" fillId="10" fontId="13" numFmtId="165" xfId="0" applyAlignment="1" applyBorder="1" applyFill="1" applyFont="1" applyNumberFormat="1">
      <alignment horizontal="center" shrinkToFit="0" vertical="bottom" wrapText="0"/>
    </xf>
    <xf borderId="0" fillId="0" fontId="13" numFmtId="0" xfId="0" applyAlignment="1" applyFont="1">
      <alignment shrinkToFit="0" vertical="bottom" wrapText="0"/>
    </xf>
    <xf borderId="3" fillId="10" fontId="14" numFmtId="165" xfId="0" applyAlignment="1" applyBorder="1" applyFill="1" applyFont="1" applyNumberFormat="1">
      <alignment horizontal="center" shrinkToFit="0" vertical="bottom" wrapText="0"/>
    </xf>
    <xf borderId="3" fillId="4" fontId="2" numFmtId="0" xfId="0" applyAlignment="1" applyBorder="1" applyFill="1" applyFont="1">
      <alignment shrinkToFit="0" vertical="bottom" wrapText="0"/>
    </xf>
    <xf borderId="3" fillId="4" fontId="2" numFmtId="0" xfId="0" applyAlignment="1" applyBorder="1" applyFill="1" applyFont="1">
      <alignment horizontal="center" shrinkToFit="0" vertical="bottom" wrapText="0"/>
    </xf>
    <xf borderId="3" fillId="0" fontId="2" numFmtId="0" xfId="0" applyAlignment="1" applyBorder="1" applyFont="1">
      <alignment shrinkToFit="0" vertical="bottom" wrapText="0"/>
    </xf>
    <xf borderId="3" fillId="11" fontId="10" numFmtId="0" xfId="0" applyAlignment="1" applyBorder="1" applyFill="1" applyFont="1">
      <alignment shrinkToFit="0" vertical="bottom" wrapText="0"/>
    </xf>
    <xf borderId="3" fillId="12" fontId="15" numFmtId="0" xfId="0" applyAlignment="1" applyBorder="1" applyFill="1" applyFont="1">
      <alignment shrinkToFit="0" vertical="bottom" wrapText="0"/>
    </xf>
    <xf borderId="3" fillId="13" fontId="16" numFmtId="0" xfId="0" applyAlignment="1" applyBorder="1" applyFill="1" applyFont="1">
      <alignment shrinkToFit="0" vertical="bottom" wrapText="0"/>
    </xf>
    <xf borderId="0" fillId="0" fontId="17" numFmtId="0" xfId="0" applyAlignment="1" applyFont="1">
      <alignment shrinkToFit="0" vertical="bottom" wrapText="0"/>
    </xf>
  </cellXfs>
  <cellStyles count="1">
    <cellStyle xfId="0" name="Normal" builtinId="0"/>
  </cellStyles>
  <dxfs count="7">
    <dxf>
      <font>
        <b/>
        <sz val="10.0"/>
        <color rgb="FF7F1D1D"/>
        <name val="Arial"/>
      </font>
      <fill>
        <patternFill patternType="solid">
          <fgColor rgb="FFFCA5A5"/>
          <bgColor rgb="FFFCA5A5"/>
        </patternFill>
      </fill>
      <border/>
    </dxf>
    <dxf>
      <font>
        <b/>
        <sz val="10.0"/>
        <color rgb="FF78350F"/>
        <name val="Arial"/>
      </font>
      <fill>
        <patternFill patternType="solid">
          <fgColor rgb="FFFDE68A"/>
          <bgColor rgb="FFFDE68A"/>
        </patternFill>
      </fill>
      <border/>
    </dxf>
    <dxf>
      <font>
        <b/>
        <sz val="10.0"/>
        <color rgb="FF064E3B"/>
        <name val="Arial"/>
      </font>
      <fill>
        <patternFill patternType="solid">
          <fgColor rgb="FFA7F3D0"/>
          <bgColor rgb="FFA7F3D0"/>
        </patternFill>
      </fill>
      <border/>
    </dxf>
    <dxf>
      <font>
        <b/>
        <sz val="10.0"/>
        <color rgb="FF14532D"/>
        <name val="Arial"/>
      </font>
      <fill>
        <patternFill patternType="solid">
          <fgColor rgb="FFBBF7D0"/>
          <bgColor rgb="FFBBF7D0"/>
        </patternFill>
      </fill>
      <border/>
    </dxf>
    <dxf>
      <font>
        <b/>
        <sz val="10.0"/>
        <color rgb="FF7F1D1D"/>
        <name val="Arial"/>
      </font>
      <fill>
        <patternFill patternType="solid">
          <fgColor rgb="FFFECACA"/>
          <bgColor rgb="FFFECACA"/>
        </patternFill>
      </fill>
      <border/>
    </dxf>
    <dxf>
      <font>
        <b/>
        <sz val="10.0"/>
        <color rgb="FF334155"/>
        <name val="Arial"/>
      </font>
      <fill>
        <patternFill patternType="solid">
          <fgColor rgb="FFE2E8F0"/>
          <bgColor rgb="FFE2E8F0"/>
        </patternFill>
      </fill>
      <border/>
    </dxf>
    <dxf>
      <font>
        <b/>
        <sz val="10.0"/>
        <color rgb="FF64748B"/>
        <name val="Arial"/>
      </font>
      <fill>
        <patternFill patternType="solid">
          <fgColor rgb="FFF1F5F9"/>
          <bgColor rgb="FFF1F5F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Casos por status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Quantidade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'Resumo da Execução'!$A$6:$A$9</c:f>
            </c:strRef>
          </c:cat>
          <c:val>
            <c:numRef>
              <c:f>'Resumo da Execução'!$B$6:$B$9</c:f>
              <c:numCache/>
            </c:numRef>
          </c:val>
        </c:ser>
        <c:axId val="907763721"/>
        <c:axId val="1545634569"/>
      </c:barChart>
      <c:catAx>
        <c:axId val="9077637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45634569"/>
      </c:catAx>
      <c:valAx>
        <c:axId val="154563456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07763721"/>
      </c:valAx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Distribuição dos status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'Resumo da Execução'!$B$5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'Resumo da Execução'!$A$6:$A$9</c:f>
            </c:strRef>
          </c:cat>
          <c:val>
            <c:numRef>
              <c:f>'Resumo da Execução'!$B$6:$B$9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Status por módulo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Aprovado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'Resumo da Execução'!$A$17:$A$21</c:f>
            </c:strRef>
          </c:cat>
          <c:val>
            <c:numRef>
              <c:f>'Resumo da Execução'!$C$17:$C$21</c:f>
              <c:numCache/>
            </c:numRef>
          </c:val>
        </c:ser>
        <c:ser>
          <c:idx val="1"/>
          <c:order val="1"/>
          <c:tx>
            <c:v>Reprovado</c:v>
          </c:tx>
          <c:spPr>
            <a:solidFill>
              <a:srgbClr val="C0504D"/>
            </a:solidFill>
            <a:ln cmpd="sng">
              <a:noFill/>
            </a:ln>
          </c:spPr>
          <c:invertIfNegative val="0"/>
          <c:cat>
            <c:strRef>
              <c:f>'Resumo da Execução'!$A$17:$A$21</c:f>
            </c:strRef>
          </c:cat>
          <c:val>
            <c:numRef>
              <c:f>'Resumo da Execução'!$D$17:$D$21</c:f>
              <c:numCache/>
            </c:numRef>
          </c:val>
        </c:ser>
        <c:ser>
          <c:idx val="2"/>
          <c:order val="2"/>
          <c:tx>
            <c:v>Bloqueado</c:v>
          </c:tx>
          <c:spPr>
            <a:solidFill>
              <a:srgbClr val="9BBB59"/>
            </a:solidFill>
            <a:ln cmpd="sng">
              <a:noFill/>
            </a:ln>
          </c:spPr>
          <c:invertIfNegative val="0"/>
          <c:cat>
            <c:strRef>
              <c:f>'Resumo da Execução'!$A$17:$A$21</c:f>
            </c:strRef>
          </c:cat>
          <c:val>
            <c:numRef>
              <c:f>'Resumo da Execução'!$E$17:$E$21</c:f>
              <c:numCache/>
            </c:numRef>
          </c:val>
        </c:ser>
        <c:ser>
          <c:idx val="3"/>
          <c:order val="3"/>
          <c:tx>
            <c:v>Não Executado</c:v>
          </c:tx>
          <c:spPr>
            <a:solidFill>
              <a:srgbClr val="8064A2"/>
            </a:solidFill>
            <a:ln cmpd="sng">
              <a:noFill/>
            </a:ln>
          </c:spPr>
          <c:invertIfNegative val="0"/>
          <c:cat>
            <c:strRef>
              <c:f>'Resumo da Execução'!$A$17:$A$21</c:f>
            </c:strRef>
          </c:cat>
          <c:val>
            <c:numRef>
              <c:f>'Resumo da Execução'!$F$17:$F$21</c:f>
              <c:numCache/>
            </c:numRef>
          </c:val>
        </c:ser>
        <c:overlap val="100"/>
        <c:axId val="1980465309"/>
        <c:axId val="265062278"/>
      </c:barChart>
      <c:catAx>
        <c:axId val="19804653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65062278"/>
      </c:catAx>
      <c:valAx>
        <c:axId val="26506227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8046530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3</xdr:row>
      <xdr:rowOff>142875</xdr:rowOff>
    </xdr:from>
    <xdr:ext cx="4105275" cy="2828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0</xdr:colOff>
      <xdr:row>3</xdr:row>
      <xdr:rowOff>142875</xdr:rowOff>
    </xdr:from>
    <xdr:ext cx="3438525" cy="28289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0</xdr:colOff>
      <xdr:row>20</xdr:row>
      <xdr:rowOff>142875</xdr:rowOff>
    </xdr:from>
    <xdr:ext cx="5476875" cy="30194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2" t="s">
        <v>4</v>
      </c>
    </row>
    <row r="5">
      <c r="A5" s="2" t="s">
        <v>5</v>
      </c>
    </row>
    <row r="6">
      <c r="A6" s="2" t="s">
        <v>6</v>
      </c>
    </row>
    <row r="7">
      <c r="A7" s="2" t="s">
        <v>7</v>
      </c>
    </row>
    <row r="8">
      <c r="A8" s="2"/>
    </row>
    <row r="9">
      <c r="A9" s="3" t="s">
        <v>8</v>
      </c>
    </row>
    <row r="10">
      <c r="A10" s="2" t="s">
        <v>9</v>
      </c>
    </row>
    <row r="11">
      <c r="A11" s="2"/>
    </row>
    <row r="12">
      <c r="A12" s="2" t="s">
        <v>10</v>
      </c>
    </row>
    <row r="13">
      <c r="A13" s="2" t="s">
        <v>11</v>
      </c>
    </row>
    <row r="14">
      <c r="A14" s="2" t="s">
        <v>12</v>
      </c>
    </row>
    <row r="15">
      <c r="A15" s="2" t="s">
        <v>13</v>
      </c>
    </row>
    <row r="16">
      <c r="A16" s="2" t="s">
        <v>14</v>
      </c>
    </row>
    <row r="17">
      <c r="A17" s="2"/>
    </row>
    <row r="18">
      <c r="A18" s="2" t="s">
        <v>15</v>
      </c>
    </row>
    <row r="19">
      <c r="A19" s="2" t="s">
        <v>16</v>
      </c>
    </row>
    <row r="20">
      <c r="A20" s="2"/>
    </row>
    <row r="21" ht="15.75" customHeight="1">
      <c r="A21" s="3" t="s">
        <v>17</v>
      </c>
    </row>
    <row r="22" ht="15.75" customHeight="1">
      <c r="A22" s="2" t="s">
        <v>19</v>
      </c>
    </row>
    <row r="23" ht="15.75" customHeight="1">
      <c r="A23" s="9" t="s">
        <v>20</v>
      </c>
    </row>
    <row r="24" ht="15.75" customHeight="1">
      <c r="A24" s="2"/>
    </row>
    <row r="25" ht="15.75" customHeight="1">
      <c r="A25" s="3" t="s">
        <v>21</v>
      </c>
    </row>
    <row r="26" ht="15.75" customHeight="1">
      <c r="A26" s="2" t="s">
        <v>23</v>
      </c>
    </row>
    <row r="27" ht="15.75" customHeight="1">
      <c r="A27" s="2" t="s">
        <v>25</v>
      </c>
    </row>
    <row r="28" ht="15.75" customHeight="1">
      <c r="A28" s="2" t="s">
        <v>27</v>
      </c>
    </row>
    <row r="29" ht="15.75" customHeight="1">
      <c r="A29" s="2" t="s">
        <v>29</v>
      </c>
    </row>
    <row r="30" ht="15.75" customHeight="1">
      <c r="A30" s="2" t="s">
        <v>31</v>
      </c>
    </row>
    <row r="31" ht="15.75" customHeight="1">
      <c r="A31" s="2"/>
    </row>
    <row r="32" ht="15.75" customHeight="1">
      <c r="A32" s="3" t="s">
        <v>35</v>
      </c>
    </row>
    <row r="33" ht="15.75" customHeight="1">
      <c r="A33" s="2" t="s">
        <v>37</v>
      </c>
    </row>
    <row r="34" ht="15.75" customHeight="1">
      <c r="A34" s="2" t="s">
        <v>41</v>
      </c>
    </row>
    <row r="35" ht="15.75" customHeight="1">
      <c r="A35" s="2" t="s">
        <v>43</v>
      </c>
    </row>
    <row r="36" ht="15.75" customHeight="1">
      <c r="A36" s="2" t="s">
        <v>45</v>
      </c>
    </row>
    <row r="37" ht="15.75" customHeight="1">
      <c r="A37" s="2"/>
    </row>
    <row r="38" ht="15.75" customHeight="1">
      <c r="A38" s="3" t="s">
        <v>48</v>
      </c>
    </row>
    <row r="39" ht="15.75" customHeight="1">
      <c r="A39" s="2" t="s">
        <v>50</v>
      </c>
    </row>
    <row r="40" ht="15.75" customHeight="1">
      <c r="A40" s="2" t="s">
        <v>51</v>
      </c>
    </row>
    <row r="41" ht="15.75" customHeight="1">
      <c r="A41" s="2" t="s">
        <v>54</v>
      </c>
    </row>
    <row r="42" ht="15.75" customHeight="1">
      <c r="A42" s="2" t="s">
        <v>56</v>
      </c>
    </row>
    <row r="43" ht="15.75" customHeight="1">
      <c r="A43" s="2" t="s">
        <v>57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16.0"/>
    <col customWidth="1" min="3" max="3" width="34.0"/>
    <col customWidth="1" min="4" max="4" width="26.0"/>
    <col customWidth="1" min="5" max="5" width="18.0"/>
    <col customWidth="1" min="6" max="6" width="26.0"/>
    <col customWidth="1" min="7" max="26" width="8.71"/>
  </cols>
  <sheetData>
    <row r="1">
      <c r="A1" s="4" t="s">
        <v>2</v>
      </c>
    </row>
    <row r="2">
      <c r="A2" s="6"/>
    </row>
    <row r="4">
      <c r="A4" s="8" t="s">
        <v>18</v>
      </c>
      <c r="B4" s="8" t="s">
        <v>22</v>
      </c>
      <c r="C4" s="8" t="s">
        <v>24</v>
      </c>
      <c r="D4" s="8" t="s">
        <v>26</v>
      </c>
      <c r="E4" s="8" t="s">
        <v>30</v>
      </c>
      <c r="F4" s="8" t="s">
        <v>33</v>
      </c>
    </row>
    <row r="5">
      <c r="A5" s="11" t="s">
        <v>39</v>
      </c>
      <c r="B5" s="12" t="s">
        <v>52</v>
      </c>
      <c r="C5" s="11" t="s">
        <v>58</v>
      </c>
      <c r="D5" s="11" t="s">
        <v>60</v>
      </c>
      <c r="E5" s="11" t="s">
        <v>62</v>
      </c>
      <c r="F5" s="11" t="s">
        <v>63</v>
      </c>
    </row>
    <row r="6">
      <c r="A6" s="16" t="s">
        <v>72</v>
      </c>
      <c r="B6" s="16" t="s">
        <v>52</v>
      </c>
      <c r="C6" s="16" t="s">
        <v>74</v>
      </c>
      <c r="D6" s="16" t="s">
        <v>75</v>
      </c>
      <c r="E6" s="16" t="s">
        <v>62</v>
      </c>
      <c r="F6" s="16" t="s">
        <v>76</v>
      </c>
    </row>
    <row r="7">
      <c r="A7" s="12"/>
      <c r="B7" s="12"/>
      <c r="C7" s="12"/>
      <c r="D7" s="12"/>
      <c r="E7" s="12"/>
      <c r="F7" s="12"/>
    </row>
    <row r="8">
      <c r="A8" s="18"/>
      <c r="B8" s="18"/>
      <c r="C8" s="18"/>
      <c r="D8" s="18"/>
      <c r="E8" s="18"/>
      <c r="F8" s="18"/>
    </row>
    <row r="9">
      <c r="A9" s="12"/>
      <c r="B9" s="12"/>
      <c r="C9" s="12"/>
      <c r="D9" s="12"/>
      <c r="E9" s="12"/>
      <c r="F9" s="12"/>
    </row>
    <row r="10">
      <c r="A10" s="18"/>
      <c r="B10" s="18"/>
      <c r="C10" s="18"/>
      <c r="D10" s="18"/>
      <c r="E10" s="18"/>
      <c r="F10" s="18"/>
    </row>
    <row r="11">
      <c r="A11" s="12"/>
      <c r="B11" s="12"/>
      <c r="C11" s="12"/>
      <c r="D11" s="12"/>
      <c r="E11" s="12"/>
      <c r="F11" s="12"/>
    </row>
    <row r="12">
      <c r="A12" s="18"/>
      <c r="B12" s="18"/>
      <c r="C12" s="18"/>
      <c r="D12" s="18"/>
      <c r="E12" s="18"/>
      <c r="F12" s="18"/>
    </row>
    <row r="13">
      <c r="A13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E5:E12">
      <formula1>"Não iniciado,Em andamento,Concluído"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9.0"/>
    <col customWidth="1" min="2" max="2" width="38.0"/>
    <col customWidth="1" min="3" max="3" width="12.0"/>
    <col customWidth="1" min="4" max="4" width="13.0"/>
    <col customWidth="1" min="5" max="6" width="42.0"/>
    <col customWidth="1" min="7" max="7" width="38.0"/>
    <col customWidth="1" min="8" max="8" width="46.0"/>
    <col customWidth="1" min="9" max="9" width="52.0"/>
    <col customWidth="1" min="10" max="10" width="42.0"/>
    <col customWidth="1" min="11" max="12" width="16.0"/>
    <col customWidth="1" min="13" max="13" width="15.0"/>
    <col customWidth="1" min="14" max="14" width="28.0"/>
    <col customWidth="1" min="15" max="26" width="8.71"/>
  </cols>
  <sheetData>
    <row r="1" ht="21.75" customHeight="1">
      <c r="A1" s="5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0"/>
    </row>
    <row r="2" ht="30.0" customHeight="1">
      <c r="A2" s="8" t="s">
        <v>28</v>
      </c>
      <c r="B2" s="8" t="s">
        <v>32</v>
      </c>
      <c r="C2" s="8" t="s">
        <v>34</v>
      </c>
      <c r="D2" s="8" t="s">
        <v>36</v>
      </c>
      <c r="E2" s="8" t="s">
        <v>38</v>
      </c>
      <c r="F2" s="8" t="s">
        <v>40</v>
      </c>
      <c r="G2" s="8" t="s">
        <v>42</v>
      </c>
      <c r="H2" s="8" t="s">
        <v>44</v>
      </c>
      <c r="I2" s="8" t="s">
        <v>46</v>
      </c>
      <c r="J2" s="8" t="s">
        <v>47</v>
      </c>
      <c r="K2" s="8" t="s">
        <v>49</v>
      </c>
      <c r="L2" s="8" t="s">
        <v>18</v>
      </c>
      <c r="M2" s="8" t="s">
        <v>53</v>
      </c>
      <c r="N2" s="8" t="s">
        <v>55</v>
      </c>
    </row>
    <row r="3" ht="91.5" customHeight="1">
      <c r="A3" s="13" t="s">
        <v>59</v>
      </c>
      <c r="B3" s="14" t="s">
        <v>61</v>
      </c>
      <c r="C3" s="13" t="s">
        <v>64</v>
      </c>
      <c r="D3" s="13" t="s">
        <v>65</v>
      </c>
      <c r="E3" s="14" t="s">
        <v>66</v>
      </c>
      <c r="F3" s="14" t="s">
        <v>67</v>
      </c>
      <c r="G3" s="14" t="s">
        <v>68</v>
      </c>
      <c r="H3" s="14" t="s">
        <v>69</v>
      </c>
      <c r="I3" s="14" t="s">
        <v>70</v>
      </c>
      <c r="J3" s="15" t="s">
        <v>71</v>
      </c>
      <c r="K3" s="17" t="s">
        <v>73</v>
      </c>
      <c r="L3" s="17" t="s">
        <v>39</v>
      </c>
      <c r="M3" s="19">
        <v>46292.0</v>
      </c>
      <c r="N3" s="20"/>
    </row>
    <row r="4" ht="91.5" customHeight="1">
      <c r="A4" s="13" t="s">
        <v>77</v>
      </c>
      <c r="B4" s="14" t="s">
        <v>78</v>
      </c>
      <c r="C4" s="13" t="s">
        <v>64</v>
      </c>
      <c r="D4" s="13" t="s">
        <v>65</v>
      </c>
      <c r="E4" s="14" t="s">
        <v>79</v>
      </c>
      <c r="F4" s="14" t="s">
        <v>80</v>
      </c>
      <c r="G4" s="14" t="s">
        <v>81</v>
      </c>
      <c r="H4" s="14" t="s">
        <v>82</v>
      </c>
      <c r="I4" s="14" t="s">
        <v>83</v>
      </c>
      <c r="J4" s="15" t="s">
        <v>84</v>
      </c>
      <c r="K4" s="17" t="s">
        <v>85</v>
      </c>
      <c r="L4" s="17" t="s">
        <v>39</v>
      </c>
      <c r="M4" s="19">
        <v>46292.0</v>
      </c>
      <c r="N4" s="20"/>
    </row>
    <row r="5" ht="91.5" customHeight="1">
      <c r="A5" s="13" t="s">
        <v>86</v>
      </c>
      <c r="B5" s="14" t="s">
        <v>87</v>
      </c>
      <c r="C5" s="13" t="s">
        <v>64</v>
      </c>
      <c r="D5" s="13" t="s">
        <v>65</v>
      </c>
      <c r="E5" s="14" t="s">
        <v>88</v>
      </c>
      <c r="F5" s="14" t="s">
        <v>89</v>
      </c>
      <c r="G5" s="14" t="s">
        <v>90</v>
      </c>
      <c r="H5" s="14" t="s">
        <v>91</v>
      </c>
      <c r="I5" s="14" t="s">
        <v>92</v>
      </c>
      <c r="J5" s="15" t="s">
        <v>93</v>
      </c>
      <c r="K5" s="17" t="s">
        <v>73</v>
      </c>
      <c r="L5" s="17" t="s">
        <v>39</v>
      </c>
      <c r="M5" s="19">
        <v>46292.0</v>
      </c>
      <c r="N5" s="20"/>
    </row>
    <row r="6" ht="21.75" customHeight="1">
      <c r="A6" s="5" t="s">
        <v>94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0"/>
    </row>
    <row r="7" ht="30.0" customHeight="1">
      <c r="A7" s="8" t="s">
        <v>28</v>
      </c>
      <c r="B7" s="8" t="s">
        <v>32</v>
      </c>
      <c r="C7" s="8" t="s">
        <v>34</v>
      </c>
      <c r="D7" s="8" t="s">
        <v>36</v>
      </c>
      <c r="E7" s="8" t="s">
        <v>38</v>
      </c>
      <c r="F7" s="8" t="s">
        <v>40</v>
      </c>
      <c r="G7" s="8" t="s">
        <v>42</v>
      </c>
      <c r="H7" s="8" t="s">
        <v>44</v>
      </c>
      <c r="I7" s="8" t="s">
        <v>46</v>
      </c>
      <c r="J7" s="8" t="s">
        <v>47</v>
      </c>
      <c r="K7" s="8" t="s">
        <v>49</v>
      </c>
      <c r="L7" s="8" t="s">
        <v>18</v>
      </c>
      <c r="M7" s="8" t="s">
        <v>53</v>
      </c>
      <c r="N7" s="8" t="s">
        <v>55</v>
      </c>
    </row>
    <row r="8" ht="91.5" customHeight="1">
      <c r="A8" s="13" t="s">
        <v>95</v>
      </c>
      <c r="B8" s="14" t="s">
        <v>96</v>
      </c>
      <c r="C8" s="13" t="s">
        <v>64</v>
      </c>
      <c r="D8" s="13" t="s">
        <v>97</v>
      </c>
      <c r="E8" s="14" t="s">
        <v>98</v>
      </c>
      <c r="F8" s="14" t="s">
        <v>99</v>
      </c>
      <c r="G8" s="14" t="s">
        <v>100</v>
      </c>
      <c r="H8" s="14" t="s">
        <v>101</v>
      </c>
      <c r="I8" s="14" t="s">
        <v>102</v>
      </c>
      <c r="J8" s="15" t="s">
        <v>103</v>
      </c>
      <c r="K8" s="17" t="s">
        <v>73</v>
      </c>
      <c r="L8" s="17" t="s">
        <v>72</v>
      </c>
      <c r="M8" s="19">
        <v>46292.0</v>
      </c>
      <c r="N8" s="20"/>
    </row>
    <row r="9" ht="91.5" customHeight="1">
      <c r="A9" s="13" t="s">
        <v>104</v>
      </c>
      <c r="B9" s="14" t="s">
        <v>105</v>
      </c>
      <c r="C9" s="13" t="s">
        <v>64</v>
      </c>
      <c r="D9" s="13" t="s">
        <v>97</v>
      </c>
      <c r="E9" s="14" t="s">
        <v>106</v>
      </c>
      <c r="F9" s="14" t="s">
        <v>107</v>
      </c>
      <c r="G9" s="14" t="s">
        <v>108</v>
      </c>
      <c r="H9" s="14" t="s">
        <v>109</v>
      </c>
      <c r="I9" s="14" t="s">
        <v>110</v>
      </c>
      <c r="J9" s="15" t="s">
        <v>111</v>
      </c>
      <c r="K9" s="17" t="s">
        <v>85</v>
      </c>
      <c r="L9" s="17" t="s">
        <v>72</v>
      </c>
      <c r="M9" s="19">
        <v>46292.0</v>
      </c>
      <c r="N9" s="20"/>
    </row>
    <row r="10" ht="91.5" customHeight="1">
      <c r="A10" s="13" t="s">
        <v>112</v>
      </c>
      <c r="B10" s="14" t="s">
        <v>113</v>
      </c>
      <c r="C10" s="13" t="s">
        <v>114</v>
      </c>
      <c r="D10" s="13" t="s">
        <v>97</v>
      </c>
      <c r="E10" s="14" t="s">
        <v>115</v>
      </c>
      <c r="F10" s="14" t="s">
        <v>116</v>
      </c>
      <c r="G10" s="14" t="s">
        <v>117</v>
      </c>
      <c r="H10" s="14" t="s">
        <v>118</v>
      </c>
      <c r="I10" s="14" t="s">
        <v>119</v>
      </c>
      <c r="J10" s="15" t="s">
        <v>120</v>
      </c>
      <c r="K10" s="17" t="s">
        <v>85</v>
      </c>
      <c r="L10" s="17" t="s">
        <v>72</v>
      </c>
      <c r="M10" s="19">
        <v>46292.0</v>
      </c>
      <c r="N10" s="20"/>
    </row>
    <row r="11" ht="91.5" customHeight="1">
      <c r="A11" s="13" t="s">
        <v>121</v>
      </c>
      <c r="B11" s="14" t="s">
        <v>122</v>
      </c>
      <c r="C11" s="13" t="s">
        <v>64</v>
      </c>
      <c r="D11" s="13" t="s">
        <v>97</v>
      </c>
      <c r="E11" s="14" t="s">
        <v>123</v>
      </c>
      <c r="F11" s="14" t="s">
        <v>124</v>
      </c>
      <c r="G11" s="14" t="s">
        <v>125</v>
      </c>
      <c r="H11" s="14" t="s">
        <v>126</v>
      </c>
      <c r="I11" s="14" t="s">
        <v>127</v>
      </c>
      <c r="J11" s="15" t="s">
        <v>128</v>
      </c>
      <c r="K11" s="17" t="s">
        <v>73</v>
      </c>
      <c r="L11" s="17" t="s">
        <v>72</v>
      </c>
      <c r="M11" s="19">
        <v>46292.0</v>
      </c>
      <c r="N11" s="20"/>
    </row>
    <row r="12" ht="91.5" customHeight="1">
      <c r="A12" s="13" t="s">
        <v>129</v>
      </c>
      <c r="B12" s="14" t="s">
        <v>130</v>
      </c>
      <c r="C12" s="13" t="s">
        <v>64</v>
      </c>
      <c r="D12" s="13" t="s">
        <v>97</v>
      </c>
      <c r="E12" s="14" t="s">
        <v>131</v>
      </c>
      <c r="F12" s="14" t="s">
        <v>132</v>
      </c>
      <c r="G12" s="14" t="s">
        <v>133</v>
      </c>
      <c r="H12" s="14" t="s">
        <v>134</v>
      </c>
      <c r="I12" s="14" t="s">
        <v>135</v>
      </c>
      <c r="J12" s="15" t="s">
        <v>136</v>
      </c>
      <c r="K12" s="17" t="s">
        <v>73</v>
      </c>
      <c r="L12" s="17" t="s">
        <v>72</v>
      </c>
      <c r="M12" s="19">
        <v>46292.0</v>
      </c>
      <c r="N12" s="20"/>
    </row>
    <row r="13" ht="91.5" customHeight="1">
      <c r="A13" s="13" t="s">
        <v>137</v>
      </c>
      <c r="B13" s="14" t="s">
        <v>138</v>
      </c>
      <c r="C13" s="13" t="s">
        <v>64</v>
      </c>
      <c r="D13" s="13" t="s">
        <v>97</v>
      </c>
      <c r="E13" s="14" t="s">
        <v>139</v>
      </c>
      <c r="F13" s="14" t="s">
        <v>140</v>
      </c>
      <c r="G13" s="14" t="s">
        <v>141</v>
      </c>
      <c r="H13" s="14" t="s">
        <v>142</v>
      </c>
      <c r="I13" s="14" t="s">
        <v>143</v>
      </c>
      <c r="J13" s="15" t="s">
        <v>144</v>
      </c>
      <c r="K13" s="17" t="s">
        <v>85</v>
      </c>
      <c r="L13" s="17" t="s">
        <v>72</v>
      </c>
      <c r="M13" s="19">
        <v>46292.0</v>
      </c>
      <c r="N13" s="20"/>
    </row>
    <row r="14" ht="91.5" customHeight="1">
      <c r="A14" s="13" t="s">
        <v>145</v>
      </c>
      <c r="B14" s="14" t="s">
        <v>146</v>
      </c>
      <c r="C14" s="13" t="s">
        <v>114</v>
      </c>
      <c r="D14" s="13" t="s">
        <v>97</v>
      </c>
      <c r="E14" s="14" t="s">
        <v>147</v>
      </c>
      <c r="F14" s="14" t="s">
        <v>148</v>
      </c>
      <c r="G14" s="14" t="s">
        <v>149</v>
      </c>
      <c r="H14" s="14" t="s">
        <v>150</v>
      </c>
      <c r="I14" s="14" t="s">
        <v>151</v>
      </c>
      <c r="J14" s="15" t="s">
        <v>152</v>
      </c>
      <c r="K14" s="17" t="s">
        <v>73</v>
      </c>
      <c r="L14" s="17" t="s">
        <v>72</v>
      </c>
      <c r="M14" s="19">
        <v>46292.0</v>
      </c>
      <c r="N14" s="20"/>
    </row>
    <row r="15" ht="91.5" customHeight="1">
      <c r="A15" s="13" t="s">
        <v>153</v>
      </c>
      <c r="B15" s="14" t="s">
        <v>154</v>
      </c>
      <c r="C15" s="13" t="s">
        <v>64</v>
      </c>
      <c r="D15" s="13" t="s">
        <v>97</v>
      </c>
      <c r="E15" s="14" t="s">
        <v>155</v>
      </c>
      <c r="F15" s="14" t="s">
        <v>156</v>
      </c>
      <c r="G15" s="14" t="s">
        <v>157</v>
      </c>
      <c r="H15" s="14" t="s">
        <v>158</v>
      </c>
      <c r="I15" s="14" t="s">
        <v>159</v>
      </c>
      <c r="J15" s="15" t="s">
        <v>160</v>
      </c>
      <c r="K15" s="17" t="s">
        <v>85</v>
      </c>
      <c r="L15" s="17" t="s">
        <v>72</v>
      </c>
      <c r="M15" s="19">
        <v>46292.0</v>
      </c>
      <c r="N15" s="20"/>
    </row>
    <row r="16" ht="91.5" customHeight="1">
      <c r="A16" s="13" t="s">
        <v>161</v>
      </c>
      <c r="B16" s="14" t="s">
        <v>162</v>
      </c>
      <c r="C16" s="13" t="s">
        <v>114</v>
      </c>
      <c r="D16" s="13" t="s">
        <v>97</v>
      </c>
      <c r="E16" s="14" t="s">
        <v>163</v>
      </c>
      <c r="F16" s="14" t="s">
        <v>164</v>
      </c>
      <c r="G16" s="14" t="s">
        <v>165</v>
      </c>
      <c r="H16" s="14" t="s">
        <v>166</v>
      </c>
      <c r="I16" s="14" t="s">
        <v>167</v>
      </c>
      <c r="J16" s="15" t="s">
        <v>168</v>
      </c>
      <c r="K16" s="17" t="s">
        <v>73</v>
      </c>
      <c r="L16" s="17" t="s">
        <v>72</v>
      </c>
      <c r="M16" s="19">
        <v>46292.0</v>
      </c>
      <c r="N16" s="20"/>
    </row>
    <row r="17" ht="21.75" customHeight="1">
      <c r="A17" s="5" t="s">
        <v>169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10"/>
    </row>
    <row r="18" ht="30.0" customHeight="1">
      <c r="A18" s="8" t="s">
        <v>28</v>
      </c>
      <c r="B18" s="8" t="s">
        <v>32</v>
      </c>
      <c r="C18" s="8" t="s">
        <v>34</v>
      </c>
      <c r="D18" s="8" t="s">
        <v>36</v>
      </c>
      <c r="E18" s="8" t="s">
        <v>38</v>
      </c>
      <c r="F18" s="8" t="s">
        <v>40</v>
      </c>
      <c r="G18" s="8" t="s">
        <v>42</v>
      </c>
      <c r="H18" s="8" t="s">
        <v>44</v>
      </c>
      <c r="I18" s="8" t="s">
        <v>46</v>
      </c>
      <c r="J18" s="8" t="s">
        <v>47</v>
      </c>
      <c r="K18" s="8" t="s">
        <v>49</v>
      </c>
      <c r="L18" s="8" t="s">
        <v>18</v>
      </c>
      <c r="M18" s="8" t="s">
        <v>53</v>
      </c>
      <c r="N18" s="8" t="s">
        <v>55</v>
      </c>
    </row>
    <row r="19" ht="91.5" customHeight="1">
      <c r="A19" s="13" t="s">
        <v>170</v>
      </c>
      <c r="B19" s="14" t="s">
        <v>171</v>
      </c>
      <c r="C19" s="13" t="s">
        <v>64</v>
      </c>
      <c r="D19" s="13" t="s">
        <v>172</v>
      </c>
      <c r="E19" s="14" t="s">
        <v>173</v>
      </c>
      <c r="F19" s="14" t="s">
        <v>174</v>
      </c>
      <c r="G19" s="14" t="s">
        <v>175</v>
      </c>
      <c r="H19" s="14" t="s">
        <v>176</v>
      </c>
      <c r="I19" s="14" t="s">
        <v>177</v>
      </c>
      <c r="J19" s="15" t="s">
        <v>178</v>
      </c>
      <c r="K19" s="17" t="s">
        <v>73</v>
      </c>
      <c r="L19" s="17" t="s">
        <v>72</v>
      </c>
      <c r="M19" s="19">
        <v>46292.0</v>
      </c>
      <c r="N19" s="20"/>
    </row>
    <row r="20" ht="91.5" customHeight="1">
      <c r="A20" s="13" t="s">
        <v>179</v>
      </c>
      <c r="B20" s="14" t="s">
        <v>180</v>
      </c>
      <c r="C20" s="13" t="s">
        <v>64</v>
      </c>
      <c r="D20" s="13" t="s">
        <v>172</v>
      </c>
      <c r="E20" s="14" t="s">
        <v>181</v>
      </c>
      <c r="F20" s="14" t="s">
        <v>182</v>
      </c>
      <c r="G20" s="14" t="s">
        <v>183</v>
      </c>
      <c r="H20" s="14" t="s">
        <v>184</v>
      </c>
      <c r="I20" s="14" t="s">
        <v>185</v>
      </c>
      <c r="J20" s="15" t="s">
        <v>186</v>
      </c>
      <c r="K20" s="17" t="s">
        <v>85</v>
      </c>
      <c r="L20" s="17" t="s">
        <v>72</v>
      </c>
      <c r="M20" s="19">
        <v>46292.0</v>
      </c>
      <c r="N20" s="20"/>
    </row>
    <row r="21" ht="91.5" customHeight="1">
      <c r="A21" s="13" t="s">
        <v>187</v>
      </c>
      <c r="B21" s="14" t="s">
        <v>188</v>
      </c>
      <c r="C21" s="13" t="s">
        <v>64</v>
      </c>
      <c r="D21" s="13" t="s">
        <v>172</v>
      </c>
      <c r="E21" s="14" t="s">
        <v>189</v>
      </c>
      <c r="F21" s="14" t="s">
        <v>190</v>
      </c>
      <c r="G21" s="14" t="s">
        <v>191</v>
      </c>
      <c r="H21" s="14" t="s">
        <v>192</v>
      </c>
      <c r="I21" s="14" t="s">
        <v>193</v>
      </c>
      <c r="J21" s="15" t="s">
        <v>194</v>
      </c>
      <c r="K21" s="17" t="s">
        <v>85</v>
      </c>
      <c r="L21" s="17" t="s">
        <v>72</v>
      </c>
      <c r="M21" s="19">
        <v>46292.0</v>
      </c>
      <c r="N21" s="20"/>
    </row>
    <row r="22" ht="91.5" customHeight="1">
      <c r="A22" s="13" t="s">
        <v>195</v>
      </c>
      <c r="B22" s="14" t="s">
        <v>196</v>
      </c>
      <c r="C22" s="13" t="s">
        <v>114</v>
      </c>
      <c r="D22" s="13" t="s">
        <v>172</v>
      </c>
      <c r="E22" s="14" t="s">
        <v>197</v>
      </c>
      <c r="F22" s="14" t="s">
        <v>198</v>
      </c>
      <c r="G22" s="14" t="s">
        <v>199</v>
      </c>
      <c r="H22" s="14" t="s">
        <v>200</v>
      </c>
      <c r="I22" s="14" t="s">
        <v>201</v>
      </c>
      <c r="J22" s="15" t="s">
        <v>202</v>
      </c>
      <c r="K22" s="17" t="s">
        <v>85</v>
      </c>
      <c r="L22" s="17" t="s">
        <v>72</v>
      </c>
      <c r="M22" s="19">
        <v>46292.0</v>
      </c>
      <c r="N22" s="20"/>
    </row>
    <row r="23" ht="91.5" customHeight="1">
      <c r="A23" s="13" t="s">
        <v>203</v>
      </c>
      <c r="B23" s="14" t="s">
        <v>204</v>
      </c>
      <c r="C23" s="13" t="s">
        <v>114</v>
      </c>
      <c r="D23" s="13" t="s">
        <v>172</v>
      </c>
      <c r="E23" s="14" t="s">
        <v>205</v>
      </c>
      <c r="F23" s="14" t="s">
        <v>206</v>
      </c>
      <c r="G23" s="14" t="s">
        <v>207</v>
      </c>
      <c r="H23" s="14" t="s">
        <v>208</v>
      </c>
      <c r="I23" s="14" t="s">
        <v>209</v>
      </c>
      <c r="J23" s="15" t="s">
        <v>210</v>
      </c>
      <c r="K23" s="17" t="s">
        <v>85</v>
      </c>
      <c r="L23" s="17" t="s">
        <v>72</v>
      </c>
      <c r="M23" s="19">
        <v>46292.0</v>
      </c>
      <c r="N23" s="20"/>
    </row>
    <row r="24" ht="21.75" customHeight="1">
      <c r="A24" s="5" t="s">
        <v>211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10"/>
    </row>
    <row r="25" ht="30.0" customHeight="1">
      <c r="A25" s="8" t="s">
        <v>28</v>
      </c>
      <c r="B25" s="8" t="s">
        <v>32</v>
      </c>
      <c r="C25" s="8" t="s">
        <v>34</v>
      </c>
      <c r="D25" s="8" t="s">
        <v>36</v>
      </c>
      <c r="E25" s="8" t="s">
        <v>38</v>
      </c>
      <c r="F25" s="8" t="s">
        <v>40</v>
      </c>
      <c r="G25" s="8" t="s">
        <v>42</v>
      </c>
      <c r="H25" s="8" t="s">
        <v>44</v>
      </c>
      <c r="I25" s="8" t="s">
        <v>46</v>
      </c>
      <c r="J25" s="8" t="s">
        <v>47</v>
      </c>
      <c r="K25" s="8" t="s">
        <v>49</v>
      </c>
      <c r="L25" s="8" t="s">
        <v>18</v>
      </c>
      <c r="M25" s="8" t="s">
        <v>53</v>
      </c>
      <c r="N25" s="8" t="s">
        <v>55</v>
      </c>
    </row>
    <row r="26" ht="91.5" customHeight="1">
      <c r="A26" s="13" t="s">
        <v>212</v>
      </c>
      <c r="B26" s="14" t="s">
        <v>213</v>
      </c>
      <c r="C26" s="13" t="s">
        <v>64</v>
      </c>
      <c r="D26" s="13" t="s">
        <v>214</v>
      </c>
      <c r="E26" s="14" t="s">
        <v>215</v>
      </c>
      <c r="F26" s="14" t="s">
        <v>148</v>
      </c>
      <c r="G26" s="14" t="s">
        <v>216</v>
      </c>
      <c r="H26" s="14" t="s">
        <v>217</v>
      </c>
      <c r="I26" s="14" t="s">
        <v>218</v>
      </c>
      <c r="J26" s="15" t="s">
        <v>219</v>
      </c>
      <c r="K26" s="17" t="s">
        <v>73</v>
      </c>
      <c r="L26" s="17" t="s">
        <v>39</v>
      </c>
      <c r="M26" s="19">
        <v>46293.0</v>
      </c>
      <c r="N26" s="20"/>
    </row>
    <row r="27" ht="91.5" customHeight="1">
      <c r="A27" s="13" t="s">
        <v>220</v>
      </c>
      <c r="B27" s="14" t="s">
        <v>221</v>
      </c>
      <c r="C27" s="13" t="s">
        <v>114</v>
      </c>
      <c r="D27" s="13" t="s">
        <v>214</v>
      </c>
      <c r="E27" s="14" t="s">
        <v>222</v>
      </c>
      <c r="F27" s="14" t="s">
        <v>223</v>
      </c>
      <c r="G27" s="14" t="s">
        <v>224</v>
      </c>
      <c r="H27" s="14" t="s">
        <v>225</v>
      </c>
      <c r="I27" s="14" t="s">
        <v>226</v>
      </c>
      <c r="J27" s="15" t="s">
        <v>227</v>
      </c>
      <c r="K27" s="17" t="s">
        <v>73</v>
      </c>
      <c r="L27" s="17" t="s">
        <v>39</v>
      </c>
      <c r="M27" s="19">
        <v>46293.0</v>
      </c>
      <c r="N27" s="20"/>
    </row>
    <row r="28" ht="91.5" customHeight="1">
      <c r="A28" s="13" t="s">
        <v>228</v>
      </c>
      <c r="B28" s="14" t="s">
        <v>229</v>
      </c>
      <c r="C28" s="13" t="s">
        <v>64</v>
      </c>
      <c r="D28" s="13" t="s">
        <v>214</v>
      </c>
      <c r="E28" s="14" t="s">
        <v>230</v>
      </c>
      <c r="F28" s="14" t="s">
        <v>231</v>
      </c>
      <c r="G28" s="14" t="s">
        <v>232</v>
      </c>
      <c r="H28" s="14" t="s">
        <v>233</v>
      </c>
      <c r="I28" s="14" t="s">
        <v>234</v>
      </c>
      <c r="J28" s="15" t="s">
        <v>235</v>
      </c>
      <c r="K28" s="17" t="s">
        <v>236</v>
      </c>
      <c r="L28" s="17" t="s">
        <v>39</v>
      </c>
      <c r="M28" s="19">
        <v>46293.0</v>
      </c>
      <c r="N28" s="20"/>
    </row>
    <row r="29" ht="91.5" customHeight="1">
      <c r="A29" s="13" t="s">
        <v>237</v>
      </c>
      <c r="B29" s="14" t="s">
        <v>238</v>
      </c>
      <c r="C29" s="13" t="s">
        <v>64</v>
      </c>
      <c r="D29" s="13" t="s">
        <v>214</v>
      </c>
      <c r="E29" s="14" t="s">
        <v>239</v>
      </c>
      <c r="F29" s="14" t="s">
        <v>240</v>
      </c>
      <c r="G29" s="14" t="s">
        <v>241</v>
      </c>
      <c r="H29" s="14" t="s">
        <v>242</v>
      </c>
      <c r="I29" s="14" t="s">
        <v>243</v>
      </c>
      <c r="J29" s="15" t="s">
        <v>244</v>
      </c>
      <c r="K29" s="17" t="s">
        <v>73</v>
      </c>
      <c r="L29" s="17" t="s">
        <v>39</v>
      </c>
      <c r="M29" s="19">
        <v>46293.0</v>
      </c>
      <c r="N29" s="20"/>
    </row>
    <row r="30" ht="21.75" customHeight="1">
      <c r="A30" s="5" t="s">
        <v>245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10"/>
    </row>
    <row r="31" ht="30.0" customHeight="1">
      <c r="A31" s="8" t="s">
        <v>28</v>
      </c>
      <c r="B31" s="8" t="s">
        <v>32</v>
      </c>
      <c r="C31" s="8" t="s">
        <v>34</v>
      </c>
      <c r="D31" s="8" t="s">
        <v>36</v>
      </c>
      <c r="E31" s="8" t="s">
        <v>38</v>
      </c>
      <c r="F31" s="8" t="s">
        <v>40</v>
      </c>
      <c r="G31" s="8" t="s">
        <v>42</v>
      </c>
      <c r="H31" s="8" t="s">
        <v>44</v>
      </c>
      <c r="I31" s="8" t="s">
        <v>46</v>
      </c>
      <c r="J31" s="8" t="s">
        <v>47</v>
      </c>
      <c r="K31" s="8" t="s">
        <v>49</v>
      </c>
      <c r="L31" s="8" t="s">
        <v>18</v>
      </c>
      <c r="M31" s="8" t="s">
        <v>53</v>
      </c>
      <c r="N31" s="8" t="s">
        <v>55</v>
      </c>
    </row>
    <row r="32" ht="91.5" customHeight="1">
      <c r="A32" s="13" t="s">
        <v>246</v>
      </c>
      <c r="B32" s="14" t="s">
        <v>247</v>
      </c>
      <c r="C32" s="13" t="s">
        <v>64</v>
      </c>
      <c r="D32" s="13" t="s">
        <v>248</v>
      </c>
      <c r="E32" s="14" t="s">
        <v>249</v>
      </c>
      <c r="F32" s="14" t="s">
        <v>250</v>
      </c>
      <c r="G32" s="14" t="s">
        <v>251</v>
      </c>
      <c r="H32" s="14" t="s">
        <v>252</v>
      </c>
      <c r="I32" s="14" t="s">
        <v>253</v>
      </c>
      <c r="J32" s="15" t="s">
        <v>254</v>
      </c>
      <c r="K32" s="17" t="s">
        <v>85</v>
      </c>
      <c r="L32" s="17" t="s">
        <v>39</v>
      </c>
      <c r="M32" s="19">
        <v>46293.0</v>
      </c>
      <c r="N32" s="20"/>
    </row>
    <row r="33" ht="91.5" customHeight="1">
      <c r="A33" s="13" t="s">
        <v>255</v>
      </c>
      <c r="B33" s="14" t="s">
        <v>256</v>
      </c>
      <c r="C33" s="13" t="s">
        <v>64</v>
      </c>
      <c r="D33" s="13" t="s">
        <v>248</v>
      </c>
      <c r="E33" s="14" t="s">
        <v>257</v>
      </c>
      <c r="F33" s="14" t="s">
        <v>258</v>
      </c>
      <c r="G33" s="14" t="s">
        <v>259</v>
      </c>
      <c r="H33" s="14" t="s">
        <v>260</v>
      </c>
      <c r="I33" s="14" t="s">
        <v>261</v>
      </c>
      <c r="J33" s="15" t="s">
        <v>262</v>
      </c>
      <c r="K33" s="17" t="s">
        <v>73</v>
      </c>
      <c r="L33" s="17" t="s">
        <v>39</v>
      </c>
      <c r="M33" s="19">
        <v>46293.0</v>
      </c>
      <c r="N33" s="20"/>
    </row>
    <row r="34" ht="91.5" customHeight="1">
      <c r="A34" s="13" t="s">
        <v>263</v>
      </c>
      <c r="B34" s="14" t="s">
        <v>264</v>
      </c>
      <c r="C34" s="13" t="s">
        <v>114</v>
      </c>
      <c r="D34" s="13" t="s">
        <v>248</v>
      </c>
      <c r="E34" s="14" t="s">
        <v>265</v>
      </c>
      <c r="F34" s="14" t="s">
        <v>266</v>
      </c>
      <c r="G34" s="14" t="s">
        <v>267</v>
      </c>
      <c r="H34" s="14" t="s">
        <v>268</v>
      </c>
      <c r="I34" s="14" t="s">
        <v>269</v>
      </c>
      <c r="J34" s="15" t="s">
        <v>270</v>
      </c>
      <c r="K34" s="17" t="s">
        <v>85</v>
      </c>
      <c r="L34" s="17" t="s">
        <v>39</v>
      </c>
      <c r="M34" s="19">
        <v>46293.0</v>
      </c>
      <c r="N34" s="2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N1"/>
    <mergeCell ref="A6:N6"/>
    <mergeCell ref="A17:N17"/>
    <mergeCell ref="A24:N24"/>
    <mergeCell ref="A30:N30"/>
  </mergeCells>
  <conditionalFormatting sqref="C3:C34">
    <cfRule type="expression" dxfId="0" priority="1">
      <formula>EXACT($C3,"Alta")</formula>
    </cfRule>
  </conditionalFormatting>
  <conditionalFormatting sqref="C3:C34">
    <cfRule type="expression" dxfId="1" priority="2">
      <formula>EXACT($C3,"Média")</formula>
    </cfRule>
  </conditionalFormatting>
  <conditionalFormatting sqref="C3:C34">
    <cfRule type="expression" dxfId="2" priority="3">
      <formula>EXACT($C3,"Baixa")</formula>
    </cfRule>
  </conditionalFormatting>
  <conditionalFormatting sqref="K3:K34">
    <cfRule type="expression" dxfId="3" priority="4">
      <formula>EXACT($K3,"Aprovado")</formula>
    </cfRule>
  </conditionalFormatting>
  <conditionalFormatting sqref="K3:K34">
    <cfRule type="expression" dxfId="4" priority="5">
      <formula>EXACT($K3,"Reprovado")</formula>
    </cfRule>
  </conditionalFormatting>
  <conditionalFormatting sqref="K3:K34">
    <cfRule type="expression" dxfId="5" priority="6">
      <formula>EXACT($K3,"Bloqueado")</formula>
    </cfRule>
  </conditionalFormatting>
  <conditionalFormatting sqref="K3:K34">
    <cfRule type="expression" dxfId="6" priority="7">
      <formula>EXACT($K3,"Não Executado")</formula>
    </cfRule>
  </conditionalFormatting>
  <dataValidations>
    <dataValidation type="list" allowBlank="1" sqref="L3:L5 L8:L16 L19:L23 L26:L29 L32:L34">
      <formula1>Testadores!$A$5:$A$12</formula1>
    </dataValidation>
    <dataValidation type="list" allowBlank="1" sqref="C3:C5 C8:C16 C19:C23 C26:C29 C32:C34">
      <formula1>"Alta,Média,Baixa"</formula1>
    </dataValidation>
    <dataValidation type="list" allowBlank="1" sqref="K3:K5 K8:K16 K19:K23 K26:K29 K32:K34">
      <formula1>"Aprovado,Reprovado,Bloqueado,Não Executado"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40.0"/>
    <col customWidth="1" min="3" max="3" width="20.0"/>
    <col customWidth="1" min="4" max="4" width="16.0"/>
    <col customWidth="1" min="5" max="5" width="26.0"/>
    <col customWidth="1" min="6" max="6" width="16.0"/>
    <col customWidth="1" min="7" max="26" width="8.71"/>
  </cols>
  <sheetData>
    <row r="1">
      <c r="A1" s="21" t="s">
        <v>271</v>
      </c>
    </row>
    <row r="2">
      <c r="A2" s="6"/>
    </row>
    <row r="4">
      <c r="A4" s="3" t="s">
        <v>272</v>
      </c>
    </row>
    <row r="5">
      <c r="A5" s="22" t="s">
        <v>49</v>
      </c>
      <c r="B5" s="22" t="s">
        <v>273</v>
      </c>
      <c r="C5" s="22" t="s">
        <v>274</v>
      </c>
    </row>
    <row r="6">
      <c r="A6" s="23" t="s">
        <v>73</v>
      </c>
      <c r="B6" s="24">
        <f>COUNTIF('Casos de Teste'!$K$3:$K$34,$A6)</f>
        <v>12</v>
      </c>
      <c r="C6" s="25">
        <f t="shared" ref="C6:C9" si="1">IFERROR($B6/$B$10,0)</f>
        <v>0.5</v>
      </c>
    </row>
    <row r="7">
      <c r="A7" s="26" t="s">
        <v>85</v>
      </c>
      <c r="B7" s="24">
        <f>COUNTIF('Casos de Teste'!$K$3:$K$34,$A7)</f>
        <v>11</v>
      </c>
      <c r="C7" s="25">
        <f t="shared" si="1"/>
        <v>0.4583333333</v>
      </c>
    </row>
    <row r="8">
      <c r="A8" s="27" t="s">
        <v>236</v>
      </c>
      <c r="B8" s="24">
        <f>COUNTIF('Casos de Teste'!$K$3:$K$34,$A8)</f>
        <v>1</v>
      </c>
      <c r="C8" s="25">
        <f t="shared" si="1"/>
        <v>0.04166666667</v>
      </c>
    </row>
    <row r="9">
      <c r="A9" s="28" t="s">
        <v>275</v>
      </c>
      <c r="B9" s="24">
        <f>COUNTIF('Casos de Teste'!$K$3:$K$34,$A9)</f>
        <v>0</v>
      </c>
      <c r="C9" s="25">
        <f t="shared" si="1"/>
        <v>0</v>
      </c>
    </row>
    <row r="10">
      <c r="A10" s="29" t="s">
        <v>276</v>
      </c>
      <c r="B10" s="30">
        <f>COUNTIF('Casos de Teste'!$A$3:$A$34,"CT-*")</f>
        <v>24</v>
      </c>
      <c r="C10" s="31">
        <f>IFERROR(SUM(C6:C9),0)</f>
        <v>1</v>
      </c>
    </row>
    <row r="12">
      <c r="A12" s="32" t="s">
        <v>277</v>
      </c>
      <c r="B12" s="33">
        <f>IFERROR(B6/(B6+B7+B8),0)</f>
        <v>0.5</v>
      </c>
    </row>
    <row r="15">
      <c r="A15" s="3" t="s">
        <v>278</v>
      </c>
    </row>
    <row r="16">
      <c r="A16" s="22" t="s">
        <v>36</v>
      </c>
      <c r="B16" s="22" t="s">
        <v>279</v>
      </c>
      <c r="C16" s="22" t="s">
        <v>73</v>
      </c>
      <c r="D16" s="22" t="s">
        <v>85</v>
      </c>
      <c r="E16" s="22" t="s">
        <v>236</v>
      </c>
      <c r="F16" s="22" t="s">
        <v>275</v>
      </c>
    </row>
    <row r="17">
      <c r="A17" s="34" t="s">
        <v>65</v>
      </c>
      <c r="B17" s="35">
        <f>COUNTIF('Casos de Teste'!$D$3:$D$34,$A17)</f>
        <v>3</v>
      </c>
      <c r="C17" s="35">
        <f>COUNTIFS('Casos de Teste'!$D$3:$D$34,$A17,'Casos de Teste'!$K$3:$K$34,C$16)</f>
        <v>2</v>
      </c>
      <c r="D17" s="35">
        <f>COUNTIFS('Casos de Teste'!$D$3:$D$34,$A17,'Casos de Teste'!$K$3:$K$34,D$16)</f>
        <v>1</v>
      </c>
      <c r="E17" s="35">
        <f>COUNTIFS('Casos de Teste'!$D$3:$D$34,$A17,'Casos de Teste'!$K$3:$K$34,E$16)</f>
        <v>0</v>
      </c>
      <c r="F17" s="35">
        <f>COUNTIFS('Casos de Teste'!$D$3:$D$34,$A17,'Casos de Teste'!$K$3:$K$34,F$16)</f>
        <v>0</v>
      </c>
    </row>
    <row r="18">
      <c r="A18" s="36" t="s">
        <v>97</v>
      </c>
      <c r="B18" s="24">
        <f>COUNTIF('Casos de Teste'!$D$3:$D$34,$A18)</f>
        <v>9</v>
      </c>
      <c r="C18" s="24">
        <f>COUNTIFS('Casos de Teste'!$D$3:$D$34,$A18,'Casos de Teste'!$K$3:$K$34,C$16)</f>
        <v>5</v>
      </c>
      <c r="D18" s="24">
        <f>COUNTIFS('Casos de Teste'!$D$3:$D$34,$A18,'Casos de Teste'!$K$3:$K$34,D$16)</f>
        <v>4</v>
      </c>
      <c r="E18" s="24">
        <f>COUNTIFS('Casos de Teste'!$D$3:$D$34,$A18,'Casos de Teste'!$K$3:$K$34,E$16)</f>
        <v>0</v>
      </c>
      <c r="F18" s="24">
        <f>COUNTIFS('Casos de Teste'!$D$3:$D$34,$A18,'Casos de Teste'!$K$3:$K$34,F$16)</f>
        <v>0</v>
      </c>
    </row>
    <row r="19">
      <c r="A19" s="34" t="s">
        <v>172</v>
      </c>
      <c r="B19" s="35">
        <f>COUNTIF('Casos de Teste'!$D$3:$D$34,$A19)</f>
        <v>5</v>
      </c>
      <c r="C19" s="35">
        <f>COUNTIFS('Casos de Teste'!$D$3:$D$34,$A19,'Casos de Teste'!$K$3:$K$34,C$16)</f>
        <v>1</v>
      </c>
      <c r="D19" s="35">
        <f>COUNTIFS('Casos de Teste'!$D$3:$D$34,$A19,'Casos de Teste'!$K$3:$K$34,D$16)</f>
        <v>4</v>
      </c>
      <c r="E19" s="35">
        <f>COUNTIFS('Casos de Teste'!$D$3:$D$34,$A19,'Casos de Teste'!$K$3:$K$34,E$16)</f>
        <v>0</v>
      </c>
      <c r="F19" s="35">
        <f>COUNTIFS('Casos de Teste'!$D$3:$D$34,$A19,'Casos de Teste'!$K$3:$K$34,F$16)</f>
        <v>0</v>
      </c>
    </row>
    <row r="20">
      <c r="A20" s="36" t="s">
        <v>214</v>
      </c>
      <c r="B20" s="24">
        <f>COUNTIF('Casos de Teste'!$D$3:$D$34,$A20)</f>
        <v>4</v>
      </c>
      <c r="C20" s="24">
        <f>COUNTIFS('Casos de Teste'!$D$3:$D$34,$A20,'Casos de Teste'!$K$3:$K$34,C$16)</f>
        <v>3</v>
      </c>
      <c r="D20" s="24">
        <f>COUNTIFS('Casos de Teste'!$D$3:$D$34,$A20,'Casos de Teste'!$K$3:$K$34,D$16)</f>
        <v>0</v>
      </c>
      <c r="E20" s="24">
        <f>COUNTIFS('Casos de Teste'!$D$3:$D$34,$A20,'Casos de Teste'!$K$3:$K$34,E$16)</f>
        <v>1</v>
      </c>
      <c r="F20" s="24">
        <f>COUNTIFS('Casos de Teste'!$D$3:$D$34,$A20,'Casos de Teste'!$K$3:$K$34,F$16)</f>
        <v>0</v>
      </c>
    </row>
    <row r="21" ht="15.75" customHeight="1">
      <c r="A21" s="34" t="s">
        <v>248</v>
      </c>
      <c r="B21" s="35">
        <f>COUNTIF('Casos de Teste'!$D$3:$D$34,$A21)</f>
        <v>3</v>
      </c>
      <c r="C21" s="35">
        <f>COUNTIFS('Casos de Teste'!$D$3:$D$34,$A21,'Casos de Teste'!$K$3:$K$34,C$16)</f>
        <v>1</v>
      </c>
      <c r="D21" s="35">
        <f>COUNTIFS('Casos de Teste'!$D$3:$D$34,$A21,'Casos de Teste'!$K$3:$K$34,D$16)</f>
        <v>2</v>
      </c>
      <c r="E21" s="35">
        <f>COUNTIFS('Casos de Teste'!$D$3:$D$34,$A21,'Casos de Teste'!$K$3:$K$34,E$16)</f>
        <v>0</v>
      </c>
      <c r="F21" s="35">
        <f>COUNTIFS('Casos de Teste'!$D$3:$D$34,$A21,'Casos de Teste'!$K$3:$K$34,F$16)</f>
        <v>0</v>
      </c>
    </row>
    <row r="22" ht="15.75" customHeight="1"/>
    <row r="23" ht="15.75" customHeight="1"/>
    <row r="24" ht="15.75" customHeight="1">
      <c r="A24" s="3" t="s">
        <v>280</v>
      </c>
    </row>
    <row r="25" ht="15.75" customHeight="1">
      <c r="A25" s="22" t="s">
        <v>34</v>
      </c>
      <c r="B25" s="22" t="s">
        <v>279</v>
      </c>
      <c r="C25" s="22" t="s">
        <v>73</v>
      </c>
      <c r="D25" s="22" t="s">
        <v>85</v>
      </c>
    </row>
    <row r="26" ht="15.75" customHeight="1">
      <c r="A26" s="37" t="s">
        <v>64</v>
      </c>
      <c r="B26" s="24">
        <f>COUNTIF('Casos de Teste'!$C$3:$C$34,$A26)</f>
        <v>17</v>
      </c>
      <c r="C26" s="24">
        <f>COUNTIFS('Casos de Teste'!$C$3:$C$34,$A26,'Casos de Teste'!$K$3:$K$34,"Aprovado")</f>
        <v>9</v>
      </c>
      <c r="D26" s="24">
        <f>COUNTIFS('Casos de Teste'!$C$3:$C$34,$A26,'Casos de Teste'!$K$3:$K$34,"Reprovado")</f>
        <v>7</v>
      </c>
    </row>
    <row r="27" ht="15.75" customHeight="1">
      <c r="A27" s="38" t="s">
        <v>114</v>
      </c>
      <c r="B27" s="24">
        <f>COUNTIF('Casos de Teste'!$C$3:$C$34,$A27)</f>
        <v>7</v>
      </c>
      <c r="C27" s="24">
        <f>COUNTIFS('Casos de Teste'!$C$3:$C$34,$A27,'Casos de Teste'!$K$3:$K$34,"Aprovado")</f>
        <v>3</v>
      </c>
      <c r="D27" s="24">
        <f>COUNTIFS('Casos de Teste'!$C$3:$C$34,$A27,'Casos de Teste'!$K$3:$K$34,"Reprovado")</f>
        <v>4</v>
      </c>
    </row>
    <row r="28" ht="15.75" customHeight="1">
      <c r="A28" s="39" t="s">
        <v>281</v>
      </c>
      <c r="B28" s="24">
        <f>COUNTIF('Casos de Teste'!$C$3:$C$34,$A28)</f>
        <v>0</v>
      </c>
      <c r="C28" s="24">
        <f>COUNTIFS('Casos de Teste'!$C$3:$C$34,$A28,'Casos de Teste'!$K$3:$K$34,"Aprovado")</f>
        <v>0</v>
      </c>
      <c r="D28" s="24">
        <f>COUNTIFS('Casos de Teste'!$C$3:$C$34,$A28,'Casos de Teste'!$K$3:$K$34,"Reprovado")</f>
        <v>0</v>
      </c>
    </row>
    <row r="29" ht="15.75" customHeight="1"/>
    <row r="30" ht="15.75" customHeight="1">
      <c r="A30" s="40" t="s">
        <v>282</v>
      </c>
    </row>
    <row r="31" ht="15.75" customHeight="1">
      <c r="A31" s="22" t="s">
        <v>283</v>
      </c>
      <c r="B31" s="22" t="s">
        <v>284</v>
      </c>
      <c r="C31" s="22" t="s">
        <v>285</v>
      </c>
      <c r="D31" s="22" t="s">
        <v>286</v>
      </c>
      <c r="E31" s="22" t="s">
        <v>55</v>
      </c>
    </row>
    <row r="32" ht="15.75" customHeight="1">
      <c r="A32" s="36"/>
      <c r="B32" s="36"/>
      <c r="C32" s="36"/>
      <c r="D32" s="36"/>
      <c r="E32" s="36"/>
    </row>
    <row r="33" ht="15.75" customHeight="1">
      <c r="A33" s="36"/>
      <c r="B33" s="36"/>
      <c r="C33" s="36"/>
      <c r="D33" s="36"/>
      <c r="E33" s="36"/>
    </row>
    <row r="34" ht="15.75" customHeight="1">
      <c r="A34" s="36"/>
      <c r="B34" s="36"/>
      <c r="C34" s="36"/>
      <c r="D34" s="36"/>
      <c r="E34" s="36"/>
    </row>
    <row r="35" ht="15.75" customHeight="1">
      <c r="A35" s="36"/>
      <c r="B35" s="36"/>
      <c r="C35" s="36"/>
      <c r="D35" s="36"/>
      <c r="E35" s="36"/>
    </row>
    <row r="36" ht="15.75" customHeight="1">
      <c r="A36" s="36"/>
      <c r="B36" s="36"/>
      <c r="C36" s="36"/>
      <c r="D36" s="36"/>
      <c r="E36" s="36"/>
    </row>
    <row r="37" ht="15.75" customHeight="1">
      <c r="A37" s="36"/>
      <c r="B37" s="36"/>
      <c r="C37" s="36"/>
      <c r="D37" s="36"/>
      <c r="E37" s="36"/>
    </row>
    <row r="38" ht="15.75" customHeight="1">
      <c r="A38" s="36"/>
      <c r="B38" s="36"/>
      <c r="C38" s="36"/>
      <c r="D38" s="36"/>
      <c r="E38" s="36"/>
    </row>
    <row r="39" ht="15.75" customHeight="1">
      <c r="A39" s="36"/>
      <c r="B39" s="36"/>
      <c r="C39" s="36"/>
      <c r="D39" s="36"/>
      <c r="E39" s="36"/>
    </row>
    <row r="40" ht="15.75" customHeight="1">
      <c r="A40" s="36"/>
      <c r="B40" s="36"/>
      <c r="C40" s="36"/>
      <c r="D40" s="36"/>
      <c r="E40" s="36"/>
    </row>
    <row r="41" ht="15.75" customHeight="1">
      <c r="A41" s="36"/>
      <c r="B41" s="36"/>
      <c r="C41" s="36"/>
      <c r="D41" s="36"/>
      <c r="E41" s="36"/>
    </row>
    <row r="42" ht="15.75" customHeight="1">
      <c r="A42" s="6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32:D41">
      <formula1>"Crítica,Alta,Média,Baixa"</formula1>
    </dataValidation>
  </dataValidations>
  <printOptions/>
  <pageMargins bottom="1.0" footer="0.0" header="0.0" left="0.75" right="0.75" top="1.0"/>
  <pageSetup paperSize="9" orientation="portrait"/>
  <drawing r:id="rId1"/>
</worksheet>
</file>